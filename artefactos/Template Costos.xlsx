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para Alumnos T&amp;M" sheetId="1" r:id="rId4"/>
    <sheet state="visible" name="Template para Alumnos Fixed Pri" sheetId="2" r:id="rId5"/>
  </sheets>
  <definedNames/>
  <calcPr/>
  <extLst>
    <ext uri="GoogleSheetsCustomDataVersion2">
      <go:sheetsCustomData xmlns:go="http://customooxmlschemas.google.com/" r:id="rId6" roundtripDataChecksum="lKT5bxhdMhrtyl4IxSKgTk68U02gqS1qIfhmTo13v4Y="/>
    </ext>
  </extLst>
</workbook>
</file>

<file path=xl/sharedStrings.xml><?xml version="1.0" encoding="utf-8"?>
<sst xmlns="http://schemas.openxmlformats.org/spreadsheetml/2006/main" count="113" uniqueCount="39">
  <si>
    <t>Mes 1</t>
  </si>
  <si>
    <t>Mes 2</t>
  </si>
  <si>
    <t>Mes 3</t>
  </si>
  <si>
    <t>Mes 4</t>
  </si>
  <si>
    <t>Mes 5</t>
  </si>
  <si>
    <t>Mes 6</t>
  </si>
  <si>
    <t>Total</t>
  </si>
  <si>
    <t>Perfiles</t>
  </si>
  <si>
    <t>Rate costo/hs</t>
  </si>
  <si>
    <t xml:space="preserve">Horas </t>
  </si>
  <si>
    <t>Monto</t>
  </si>
  <si>
    <t>Project Manager</t>
  </si>
  <si>
    <t>Solution Architect</t>
  </si>
  <si>
    <t xml:space="preserve">Business Analyst </t>
  </si>
  <si>
    <t>Data Engineer Sr 1</t>
  </si>
  <si>
    <t>Data Engineer Ssr 2</t>
  </si>
  <si>
    <t>Data Engineer Jr 3</t>
  </si>
  <si>
    <t>Costos Equipo de trabajo</t>
  </si>
  <si>
    <t>Costos Totales Acumulados</t>
  </si>
  <si>
    <t>Rate venta/hs</t>
  </si>
  <si>
    <t xml:space="preserve">Revenue </t>
  </si>
  <si>
    <t>Revenue Totales Acumulados</t>
  </si>
  <si>
    <t>Profit / Loss -</t>
  </si>
  <si>
    <t>Profit / Loss - Acumulado</t>
  </si>
  <si>
    <t>analisis conceptual</t>
  </si>
  <si>
    <t>2 semanas (10 dias)</t>
  </si>
  <si>
    <t>programas a realizar</t>
  </si>
  <si>
    <t>6 semanas (30 dias)</t>
  </si>
  <si>
    <t>programa ingesta de datos</t>
  </si>
  <si>
    <t>1 mes (20 dias)</t>
  </si>
  <si>
    <t>Subtotal Equipo de trabajo</t>
  </si>
  <si>
    <t>Set up de Entornos</t>
  </si>
  <si>
    <t>Licenciamiento de Herramientas</t>
  </si>
  <si>
    <t>Subtotal Infraestructura</t>
  </si>
  <si>
    <t>Contingencia</t>
  </si>
  <si>
    <t>Costos Total x mes</t>
  </si>
  <si>
    <t>Markup</t>
  </si>
  <si>
    <t>Revenue x mes</t>
  </si>
  <si>
    <t>Revenue 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</si>
</sst>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_-* #,##0_-;\-* #,##0_-;_-* &quot;-&quot;??_-;_-@"/>
    <numFmt numFmtId="166" formatCode="&quot;$&quot;\ #,##0.00;[Red]\-&quot;$&quot;\ #,##0.0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/>
    <font>
      <b/>
      <sz val="11.0"/>
      <color theme="1"/>
      <name val="Calibri"/>
    </font>
    <font>
      <b/>
      <sz val="11.0"/>
      <color rgb="FF44546A"/>
      <name val="Calibri"/>
    </font>
    <font>
      <color theme="1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4A86E8"/>
        <bgColor rgb="FF4A86E8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C8C8C8"/>
        <bgColor rgb="FFC8C8C8"/>
      </patternFill>
    </fill>
  </fills>
  <borders count="13">
    <border/>
    <border>
      <left/>
      <right style="thin">
        <color rgb="FF000000"/>
      </right>
      <top/>
      <bottom/>
    </border>
    <border>
      <left/>
      <top/>
      <bottom/>
    </border>
    <border>
      <top/>
      <bottom/>
    </border>
    <border>
      <right style="thin">
        <color rgb="FF000000"/>
      </right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7" xfId="0" applyBorder="1" applyFill="1" applyFont="1" applyNumberFormat="1"/>
    <xf borderId="2" fillId="2" fontId="2" numFmtId="17" xfId="0" applyAlignment="1" applyBorder="1" applyFont="1" applyNumberFormat="1">
      <alignment horizontal="center"/>
    </xf>
    <xf borderId="3" fillId="0" fontId="3" numFmtId="0" xfId="0" applyBorder="1" applyFont="1"/>
    <xf borderId="2" fillId="3" fontId="2" numFmtId="17" xfId="0" applyAlignment="1" applyBorder="1" applyFill="1" applyFont="1" applyNumberFormat="1">
      <alignment horizontal="center"/>
    </xf>
    <xf borderId="2" fillId="4" fontId="4" numFmtId="0" xfId="0" applyAlignment="1" applyBorder="1" applyFill="1" applyFont="1">
      <alignment horizontal="center"/>
    </xf>
    <xf borderId="0" fillId="0" fontId="4" numFmtId="0" xfId="0" applyFont="1"/>
    <xf borderId="4" fillId="0" fontId="2" numFmtId="0" xfId="0" applyBorder="1" applyFont="1"/>
    <xf borderId="0" fillId="0" fontId="2" numFmtId="17" xfId="0" applyFont="1" applyNumberFormat="1"/>
    <xf borderId="0" fillId="0" fontId="2" numFmtId="0" xfId="0" applyFont="1"/>
    <xf borderId="5" fillId="5" fontId="2" numFmtId="17" xfId="0" applyBorder="1" applyFill="1" applyFont="1" applyNumberFormat="1"/>
    <xf borderId="5" fillId="5" fontId="2" numFmtId="0" xfId="0" applyBorder="1" applyFont="1"/>
    <xf borderId="4" fillId="0" fontId="1" numFmtId="164" xfId="0" applyAlignment="1" applyBorder="1" applyFont="1" applyNumberFormat="1">
      <alignment horizontal="right"/>
    </xf>
    <xf borderId="5" fillId="6" fontId="1" numFmtId="165" xfId="0" applyAlignment="1" applyBorder="1" applyFill="1" applyFont="1" applyNumberFormat="1">
      <alignment readingOrder="0"/>
    </xf>
    <xf borderId="5" fillId="7" fontId="1" numFmtId="164" xfId="0" applyBorder="1" applyFill="1" applyFont="1" applyNumberFormat="1"/>
    <xf borderId="5" fillId="3" fontId="1" numFmtId="165" xfId="0" applyBorder="1" applyFont="1" applyNumberFormat="1"/>
    <xf borderId="5" fillId="5" fontId="1" numFmtId="165" xfId="0" applyBorder="1" applyFont="1" applyNumberFormat="1"/>
    <xf borderId="5" fillId="8" fontId="1" numFmtId="165" xfId="0" applyAlignment="1" applyBorder="1" applyFill="1" applyFont="1" applyNumberFormat="1">
      <alignment readingOrder="0"/>
    </xf>
    <xf borderId="6" fillId="0" fontId="1" numFmtId="0" xfId="0" applyBorder="1" applyFont="1"/>
    <xf borderId="7" fillId="0" fontId="1" numFmtId="164" xfId="0" applyAlignment="1" applyBorder="1" applyFont="1" applyNumberFormat="1">
      <alignment horizontal="right"/>
    </xf>
    <xf borderId="8" fillId="7" fontId="1" numFmtId="164" xfId="0" applyBorder="1" applyFont="1" applyNumberFormat="1"/>
    <xf borderId="8" fillId="6" fontId="1" numFmtId="165" xfId="0" applyAlignment="1" applyBorder="1" applyFont="1" applyNumberFormat="1">
      <alignment readingOrder="0"/>
    </xf>
    <xf borderId="8" fillId="3" fontId="1" numFmtId="165" xfId="0" applyBorder="1" applyFont="1" applyNumberFormat="1"/>
    <xf borderId="8" fillId="5" fontId="1" numFmtId="165" xfId="0" applyBorder="1" applyFont="1" applyNumberFormat="1"/>
    <xf borderId="5" fillId="2" fontId="2" numFmtId="0" xfId="0" applyBorder="1" applyFont="1"/>
    <xf borderId="1" fillId="2" fontId="4" numFmtId="0" xfId="0" applyBorder="1" applyFont="1"/>
    <xf borderId="5" fillId="2" fontId="4" numFmtId="165" xfId="0" applyBorder="1" applyFont="1" applyNumberFormat="1"/>
    <xf borderId="5" fillId="2" fontId="4" numFmtId="164" xfId="0" applyBorder="1" applyFont="1" applyNumberFormat="1"/>
    <xf borderId="5" fillId="4" fontId="4" numFmtId="165" xfId="0" applyBorder="1" applyFont="1" applyNumberFormat="1"/>
    <xf borderId="5" fillId="4" fontId="4" numFmtId="164" xfId="0" applyBorder="1" applyFont="1" applyNumberFormat="1"/>
    <xf borderId="9" fillId="0" fontId="2" numFmtId="0" xfId="0" applyBorder="1" applyFont="1"/>
    <xf borderId="10" fillId="0" fontId="1" numFmtId="0" xfId="0" applyBorder="1" applyFont="1"/>
    <xf borderId="9" fillId="0" fontId="1" numFmtId="0" xfId="0" applyBorder="1" applyFont="1"/>
    <xf borderId="9" fillId="0" fontId="2" numFmtId="164" xfId="0" applyBorder="1" applyFont="1" applyNumberFormat="1"/>
    <xf borderId="11" fillId="5" fontId="1" numFmtId="0" xfId="0" applyBorder="1" applyFont="1"/>
    <xf borderId="4" fillId="0" fontId="4" numFmtId="0" xfId="0" applyBorder="1" applyFont="1"/>
    <xf borderId="0" fillId="0" fontId="1" numFmtId="164" xfId="0" applyFont="1" applyNumberFormat="1"/>
    <xf borderId="5" fillId="5" fontId="1" numFmtId="0" xfId="0" applyBorder="1" applyFont="1"/>
    <xf borderId="5" fillId="7" fontId="1" numFmtId="165" xfId="0" applyBorder="1" applyFont="1" applyNumberFormat="1"/>
    <xf borderId="8" fillId="7" fontId="1" numFmtId="165" xfId="0" applyBorder="1" applyFont="1" applyNumberFormat="1"/>
    <xf borderId="1" fillId="2" fontId="1" numFmtId="0" xfId="0" applyBorder="1" applyFont="1"/>
    <xf borderId="5" fillId="2" fontId="5" numFmtId="164" xfId="0" applyBorder="1" applyFont="1" applyNumberFormat="1"/>
    <xf borderId="6" fillId="0" fontId="2" numFmtId="0" xfId="0" applyBorder="1" applyFont="1"/>
    <xf borderId="7" fillId="0" fontId="1" numFmtId="0" xfId="0" applyBorder="1" applyFont="1"/>
    <xf borderId="6" fillId="0" fontId="1" numFmtId="164" xfId="0" applyBorder="1" applyFont="1" applyNumberFormat="1"/>
    <xf borderId="8" fillId="5" fontId="1" numFmtId="0" xfId="0" applyBorder="1" applyFont="1"/>
    <xf borderId="5" fillId="2" fontId="1" numFmtId="0" xfId="0" applyBorder="1" applyFont="1"/>
    <xf borderId="5" fillId="2" fontId="2" numFmtId="164" xfId="0" applyBorder="1" applyFont="1" applyNumberFormat="1"/>
    <xf borderId="5" fillId="4" fontId="1" numFmtId="0" xfId="0" applyBorder="1" applyFont="1"/>
    <xf borderId="5" fillId="4" fontId="2" numFmtId="40" xfId="0" applyBorder="1" applyFont="1" applyNumberFormat="1"/>
    <xf borderId="4" fillId="0" fontId="1" numFmtId="0" xfId="0" applyBorder="1" applyFont="1"/>
    <xf borderId="5" fillId="9" fontId="2" numFmtId="166" xfId="0" applyBorder="1" applyFill="1" applyFont="1" applyNumberFormat="1"/>
    <xf borderId="0" fillId="8" fontId="6" numFmtId="0" xfId="0" applyFont="1"/>
    <xf borderId="0" fillId="0" fontId="6" numFmtId="0" xfId="0" applyFont="1"/>
    <xf borderId="0" fillId="6" fontId="6" numFmtId="0" xfId="0" applyFont="1"/>
    <xf borderId="0" fillId="0" fontId="1" numFmtId="17" xfId="0" applyFont="1" applyNumberFormat="1"/>
    <xf borderId="5" fillId="9" fontId="2" numFmtId="164" xfId="0" applyBorder="1" applyFont="1" applyNumberFormat="1"/>
    <xf borderId="1" fillId="3" fontId="1" numFmtId="164" xfId="0" applyBorder="1" applyFont="1" applyNumberFormat="1"/>
    <xf borderId="12" fillId="3" fontId="1" numFmtId="164" xfId="0" applyBorder="1" applyFont="1" applyNumberFormat="1"/>
    <xf borderId="5" fillId="3" fontId="1" numFmtId="164" xfId="0" applyBorder="1" applyFont="1" applyNumberFormat="1"/>
    <xf borderId="8" fillId="3" fontId="1" numFmtId="164" xfId="0" applyBorder="1" applyFont="1" applyNumberFormat="1"/>
    <xf borderId="5" fillId="4" fontId="5" numFmtId="164" xfId="0" applyBorder="1" applyFont="1" applyNumberFormat="1"/>
    <xf borderId="12" fillId="3" fontId="1" numFmtId="9" xfId="0" applyBorder="1" applyFont="1" applyNumberFormat="1"/>
    <xf borderId="5" fillId="4" fontId="2" numFmtId="164" xfId="0" applyBorder="1" applyFont="1" applyNumberFormat="1"/>
    <xf borderId="0" fillId="0" fontId="2" numFmtId="164" xfId="0" applyFont="1" applyNumberFormat="1"/>
    <xf borderId="8" fillId="7" fontId="7" numFmtId="164" xfId="0" applyBorder="1" applyFont="1" applyNumberFormat="1"/>
    <xf borderId="5" fillId="2" fontId="1" numFmtId="164" xfId="0" applyBorder="1" applyFont="1" applyNumberFormat="1"/>
    <xf borderId="5" fillId="9" fontId="2" numFmtId="40" xfId="0" applyBorder="1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6.57"/>
    <col customWidth="1" min="2" max="2" width="12.86"/>
    <col customWidth="1" min="3" max="3" width="6.43"/>
    <col customWidth="1" min="4" max="4" width="13.71"/>
    <col customWidth="1" min="5" max="5" width="9.43"/>
    <col customWidth="1" min="6" max="6" width="13.57"/>
    <col customWidth="1" min="7" max="7" width="9.43"/>
    <col customWidth="1" min="8" max="8" width="13.57"/>
    <col customWidth="1" min="9" max="9" width="9.43"/>
    <col customWidth="1" min="10" max="10" width="13.57"/>
    <col customWidth="1" min="11" max="11" width="9.43"/>
    <col customWidth="1" min="12" max="12" width="13.57"/>
    <col customWidth="1" min="13" max="13" width="9.43"/>
    <col customWidth="1" min="14" max="14" width="13.57"/>
    <col customWidth="1" min="15" max="15" width="10.86"/>
    <col customWidth="1" min="16" max="16" width="11.86"/>
    <col customWidth="1" min="17" max="17" width="8.71"/>
    <col customWidth="1" min="18" max="18" width="27.14"/>
    <col customWidth="1" min="19" max="19" width="16.29"/>
    <col customWidth="1" min="20" max="26" width="8.71"/>
  </cols>
  <sheetData>
    <row r="1" ht="14.25" customHeight="1">
      <c r="A1" s="1"/>
      <c r="B1" s="2"/>
      <c r="C1" s="3" t="s">
        <v>0</v>
      </c>
      <c r="D1" s="4"/>
      <c r="E1" s="5" t="s">
        <v>1</v>
      </c>
      <c r="F1" s="4"/>
      <c r="G1" s="3" t="s">
        <v>2</v>
      </c>
      <c r="H1" s="4"/>
      <c r="I1" s="5" t="s">
        <v>3</v>
      </c>
      <c r="J1" s="4"/>
      <c r="K1" s="3" t="s">
        <v>4</v>
      </c>
      <c r="L1" s="4"/>
      <c r="M1" s="5" t="s">
        <v>5</v>
      </c>
      <c r="N1" s="4"/>
      <c r="O1" s="6" t="s">
        <v>6</v>
      </c>
      <c r="P1" s="4"/>
    </row>
    <row r="2" ht="14.25" customHeight="1">
      <c r="A2" s="7" t="s">
        <v>7</v>
      </c>
      <c r="B2" s="8" t="s">
        <v>8</v>
      </c>
      <c r="C2" s="9" t="s">
        <v>9</v>
      </c>
      <c r="D2" s="10" t="s">
        <v>10</v>
      </c>
      <c r="E2" s="9" t="s">
        <v>9</v>
      </c>
      <c r="F2" s="10" t="s">
        <v>10</v>
      </c>
      <c r="G2" s="9" t="s">
        <v>9</v>
      </c>
      <c r="H2" s="10" t="s">
        <v>10</v>
      </c>
      <c r="I2" s="9" t="s">
        <v>9</v>
      </c>
      <c r="J2" s="10" t="s">
        <v>10</v>
      </c>
      <c r="K2" s="9" t="s">
        <v>9</v>
      </c>
      <c r="L2" s="10" t="s">
        <v>10</v>
      </c>
      <c r="M2" s="9" t="s">
        <v>9</v>
      </c>
      <c r="N2" s="10" t="s">
        <v>10</v>
      </c>
      <c r="O2" s="11" t="s">
        <v>9</v>
      </c>
      <c r="P2" s="12" t="s">
        <v>10</v>
      </c>
    </row>
    <row r="3" ht="14.25" customHeight="1">
      <c r="A3" s="1" t="s">
        <v>11</v>
      </c>
      <c r="B3" s="13"/>
      <c r="C3" s="14"/>
      <c r="D3" s="15"/>
      <c r="E3" s="14"/>
      <c r="F3" s="15">
        <f t="shared" ref="F3:F8" si="2">E3*$B3</f>
        <v>0</v>
      </c>
      <c r="G3" s="16"/>
      <c r="H3" s="15">
        <f t="shared" ref="H3:H8" si="3">G3*$B3</f>
        <v>0</v>
      </c>
      <c r="I3" s="16">
        <v>0.0</v>
      </c>
      <c r="J3" s="15">
        <f t="shared" ref="J3:J8" si="4">I3*$B3</f>
        <v>0</v>
      </c>
      <c r="K3" s="16">
        <v>0.0</v>
      </c>
      <c r="L3" s="15">
        <f t="shared" ref="L3:L8" si="5">K3*$B3</f>
        <v>0</v>
      </c>
      <c r="M3" s="16">
        <v>0.0</v>
      </c>
      <c r="N3" s="15">
        <f t="shared" ref="N3:N8" si="6">M3*$B3</f>
        <v>0</v>
      </c>
      <c r="O3" s="17">
        <f t="shared" ref="O3:P3" si="1">C3+E3+G3+I3+K3+M3</f>
        <v>0</v>
      </c>
      <c r="P3" s="17">
        <f t="shared" si="1"/>
        <v>0</v>
      </c>
    </row>
    <row r="4" ht="14.25" customHeight="1">
      <c r="A4" s="1" t="s">
        <v>12</v>
      </c>
      <c r="B4" s="13"/>
      <c r="C4" s="14"/>
      <c r="D4" s="15"/>
      <c r="E4" s="14"/>
      <c r="F4" s="15">
        <f t="shared" si="2"/>
        <v>0</v>
      </c>
      <c r="G4" s="16">
        <v>0.0</v>
      </c>
      <c r="H4" s="15">
        <f t="shared" si="3"/>
        <v>0</v>
      </c>
      <c r="I4" s="16">
        <v>0.0</v>
      </c>
      <c r="J4" s="15">
        <f t="shared" si="4"/>
        <v>0</v>
      </c>
      <c r="K4" s="16">
        <v>0.0</v>
      </c>
      <c r="L4" s="15">
        <f t="shared" si="5"/>
        <v>0</v>
      </c>
      <c r="M4" s="16">
        <v>0.0</v>
      </c>
      <c r="N4" s="15">
        <f t="shared" si="6"/>
        <v>0</v>
      </c>
      <c r="O4" s="17">
        <f t="shared" ref="O4:P4" si="7">C4+E4+G4+I4+K4+M4</f>
        <v>0</v>
      </c>
      <c r="P4" s="17">
        <f t="shared" si="7"/>
        <v>0</v>
      </c>
    </row>
    <row r="5" ht="14.25" customHeight="1">
      <c r="A5" s="1" t="s">
        <v>13</v>
      </c>
      <c r="B5" s="13"/>
      <c r="C5" s="14"/>
      <c r="D5" s="15">
        <f t="shared" ref="D5:D8" si="9">C5*$B5</f>
        <v>0</v>
      </c>
      <c r="E5" s="14"/>
      <c r="F5" s="15">
        <f t="shared" si="2"/>
        <v>0</v>
      </c>
      <c r="G5" s="16">
        <v>0.0</v>
      </c>
      <c r="H5" s="15">
        <f t="shared" si="3"/>
        <v>0</v>
      </c>
      <c r="I5" s="16">
        <v>0.0</v>
      </c>
      <c r="J5" s="15">
        <f t="shared" si="4"/>
        <v>0</v>
      </c>
      <c r="K5" s="16">
        <v>0.0</v>
      </c>
      <c r="L5" s="15">
        <f t="shared" si="5"/>
        <v>0</v>
      </c>
      <c r="M5" s="16">
        <v>0.0</v>
      </c>
      <c r="N5" s="15">
        <f t="shared" si="6"/>
        <v>0</v>
      </c>
      <c r="O5" s="17">
        <f t="shared" ref="O5:P5" si="8">C5+E5+G5+I5+K5+M5</f>
        <v>0</v>
      </c>
      <c r="P5" s="17">
        <f t="shared" si="8"/>
        <v>0</v>
      </c>
    </row>
    <row r="6" ht="14.25" customHeight="1">
      <c r="A6" s="1" t="s">
        <v>14</v>
      </c>
      <c r="B6" s="13"/>
      <c r="C6" s="18"/>
      <c r="D6" s="15">
        <f t="shared" si="9"/>
        <v>0</v>
      </c>
      <c r="E6" s="14"/>
      <c r="F6" s="15">
        <f t="shared" si="2"/>
        <v>0</v>
      </c>
      <c r="G6" s="16">
        <v>0.0</v>
      </c>
      <c r="H6" s="15">
        <f t="shared" si="3"/>
        <v>0</v>
      </c>
      <c r="I6" s="16">
        <v>0.0</v>
      </c>
      <c r="J6" s="15">
        <f t="shared" si="4"/>
        <v>0</v>
      </c>
      <c r="K6" s="16">
        <v>0.0</v>
      </c>
      <c r="L6" s="15">
        <f t="shared" si="5"/>
        <v>0</v>
      </c>
      <c r="M6" s="16">
        <v>0.0</v>
      </c>
      <c r="N6" s="15">
        <f t="shared" si="6"/>
        <v>0</v>
      </c>
      <c r="O6" s="17">
        <f t="shared" ref="O6:P6" si="10">C6+E6+G6+I6+K6+M6</f>
        <v>0</v>
      </c>
      <c r="P6" s="17">
        <f t="shared" si="10"/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15</v>
      </c>
      <c r="B7" s="13"/>
      <c r="C7" s="18"/>
      <c r="D7" s="15">
        <f t="shared" si="9"/>
        <v>0</v>
      </c>
      <c r="E7" s="14"/>
      <c r="F7" s="15">
        <f t="shared" si="2"/>
        <v>0</v>
      </c>
      <c r="G7" s="16">
        <v>0.0</v>
      </c>
      <c r="H7" s="15">
        <f t="shared" si="3"/>
        <v>0</v>
      </c>
      <c r="I7" s="16">
        <v>0.0</v>
      </c>
      <c r="J7" s="15">
        <f t="shared" si="4"/>
        <v>0</v>
      </c>
      <c r="K7" s="16">
        <v>0.0</v>
      </c>
      <c r="L7" s="15">
        <f t="shared" si="5"/>
        <v>0</v>
      </c>
      <c r="M7" s="16">
        <v>0.0</v>
      </c>
      <c r="N7" s="15">
        <f t="shared" si="6"/>
        <v>0</v>
      </c>
      <c r="O7" s="17">
        <f t="shared" ref="O7:P7" si="11">C7+E7+G7+I7+K7+M7</f>
        <v>0</v>
      </c>
      <c r="P7" s="17">
        <f t="shared" si="11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9" t="s">
        <v>16</v>
      </c>
      <c r="B8" s="20"/>
      <c r="C8" s="18"/>
      <c r="D8" s="21">
        <f t="shared" si="9"/>
        <v>0</v>
      </c>
      <c r="E8" s="22"/>
      <c r="F8" s="21">
        <f t="shared" si="2"/>
        <v>0</v>
      </c>
      <c r="G8" s="23">
        <v>0.0</v>
      </c>
      <c r="H8" s="21">
        <f t="shared" si="3"/>
        <v>0</v>
      </c>
      <c r="I8" s="23">
        <v>0.0</v>
      </c>
      <c r="J8" s="21">
        <f t="shared" si="4"/>
        <v>0</v>
      </c>
      <c r="K8" s="23">
        <v>0.0</v>
      </c>
      <c r="L8" s="21">
        <f t="shared" si="5"/>
        <v>0</v>
      </c>
      <c r="M8" s="23">
        <v>0.0</v>
      </c>
      <c r="N8" s="21">
        <f t="shared" si="6"/>
        <v>0</v>
      </c>
      <c r="O8" s="24">
        <f t="shared" ref="O8:P8" si="12">C8+E8+G8+I8+K8+M8</f>
        <v>0</v>
      </c>
      <c r="P8" s="24">
        <f t="shared" si="12"/>
        <v>0</v>
      </c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A9" s="25" t="s">
        <v>17</v>
      </c>
      <c r="B9" s="26"/>
      <c r="C9" s="27">
        <f t="shared" ref="C9:P9" si="13">SUM(C3:C8)</f>
        <v>0</v>
      </c>
      <c r="D9" s="28">
        <f t="shared" si="13"/>
        <v>0</v>
      </c>
      <c r="E9" s="27">
        <f t="shared" si="13"/>
        <v>0</v>
      </c>
      <c r="F9" s="28">
        <f t="shared" si="13"/>
        <v>0</v>
      </c>
      <c r="G9" s="27">
        <f t="shared" si="13"/>
        <v>0</v>
      </c>
      <c r="H9" s="28">
        <f t="shared" si="13"/>
        <v>0</v>
      </c>
      <c r="I9" s="27">
        <f t="shared" si="13"/>
        <v>0</v>
      </c>
      <c r="J9" s="28">
        <f t="shared" si="13"/>
        <v>0</v>
      </c>
      <c r="K9" s="27">
        <f t="shared" si="13"/>
        <v>0</v>
      </c>
      <c r="L9" s="28">
        <f t="shared" si="13"/>
        <v>0</v>
      </c>
      <c r="M9" s="27">
        <f t="shared" si="13"/>
        <v>0</v>
      </c>
      <c r="N9" s="28">
        <f t="shared" si="13"/>
        <v>0</v>
      </c>
      <c r="O9" s="29">
        <f t="shared" si="13"/>
        <v>0</v>
      </c>
      <c r="P9" s="30">
        <f t="shared" si="13"/>
        <v>0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31" t="s">
        <v>18</v>
      </c>
      <c r="B10" s="32"/>
      <c r="C10" s="33"/>
      <c r="D10" s="34">
        <f>D9</f>
        <v>0</v>
      </c>
      <c r="E10" s="33"/>
      <c r="F10" s="34">
        <f>F9+D10</f>
        <v>0</v>
      </c>
      <c r="G10" s="33"/>
      <c r="H10" s="34">
        <f>H9+F10</f>
        <v>0</v>
      </c>
      <c r="I10" s="33"/>
      <c r="J10" s="34">
        <f>J9+H10</f>
        <v>0</v>
      </c>
      <c r="K10" s="33"/>
      <c r="L10" s="34">
        <f>L9+J10</f>
        <v>0</v>
      </c>
      <c r="M10" s="33"/>
      <c r="N10" s="34">
        <f>N9+L10</f>
        <v>0</v>
      </c>
      <c r="O10" s="35"/>
      <c r="P10" s="3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B11" s="36" t="s">
        <v>19</v>
      </c>
      <c r="D11" s="37"/>
      <c r="F11" s="37"/>
      <c r="H11" s="37"/>
      <c r="J11" s="37"/>
      <c r="L11" s="37"/>
      <c r="N11" s="37"/>
      <c r="O11" s="38"/>
      <c r="P11" s="38"/>
    </row>
    <row r="12" ht="14.25" customHeight="1">
      <c r="A12" s="1" t="s">
        <v>11</v>
      </c>
      <c r="B12" s="13">
        <v>40.0</v>
      </c>
      <c r="C12" s="39" t="str">
        <f t="shared" ref="C12:C17" si="15">C3</f>
        <v/>
      </c>
      <c r="D12" s="15">
        <f t="shared" ref="D12:D17" si="16">C12*$B12</f>
        <v>0</v>
      </c>
      <c r="E12" s="39" t="str">
        <f t="shared" ref="E12:E17" si="17">E3</f>
        <v/>
      </c>
      <c r="F12" s="15">
        <f t="shared" ref="F12:F17" si="18">E12*$B12</f>
        <v>0</v>
      </c>
      <c r="G12" s="39" t="str">
        <f t="shared" ref="G12:G17" si="19">G3</f>
        <v/>
      </c>
      <c r="H12" s="15">
        <f t="shared" ref="H12:H17" si="20">G12*$B12</f>
        <v>0</v>
      </c>
      <c r="I12" s="39">
        <f t="shared" ref="I12:I17" si="21">I3</f>
        <v>0</v>
      </c>
      <c r="J12" s="15">
        <f t="shared" ref="J12:J17" si="22">I12*$B12</f>
        <v>0</v>
      </c>
      <c r="K12" s="39">
        <f t="shared" ref="K12:K17" si="23">K3</f>
        <v>0</v>
      </c>
      <c r="L12" s="15">
        <f t="shared" ref="L12:L17" si="24">K12*$B12</f>
        <v>0</v>
      </c>
      <c r="M12" s="39">
        <f t="shared" ref="M12:M17" si="25">M3</f>
        <v>0</v>
      </c>
      <c r="N12" s="15">
        <f t="shared" ref="N12:N17" si="26">M12*$B12</f>
        <v>0</v>
      </c>
      <c r="O12" s="17">
        <f t="shared" ref="O12:P12" si="14">C12+E12+G12+I12+K12+M12</f>
        <v>0</v>
      </c>
      <c r="P12" s="17">
        <f t="shared" si="14"/>
        <v>0</v>
      </c>
    </row>
    <row r="13" ht="14.25" customHeight="1">
      <c r="A13" s="1" t="s">
        <v>12</v>
      </c>
      <c r="B13" s="13">
        <v>30.0</v>
      </c>
      <c r="C13" s="39" t="str">
        <f t="shared" si="15"/>
        <v/>
      </c>
      <c r="D13" s="15">
        <f t="shared" si="16"/>
        <v>0</v>
      </c>
      <c r="E13" s="39" t="str">
        <f t="shared" si="17"/>
        <v/>
      </c>
      <c r="F13" s="15">
        <f t="shared" si="18"/>
        <v>0</v>
      </c>
      <c r="G13" s="39">
        <f t="shared" si="19"/>
        <v>0</v>
      </c>
      <c r="H13" s="15">
        <f t="shared" si="20"/>
        <v>0</v>
      </c>
      <c r="I13" s="39">
        <f t="shared" si="21"/>
        <v>0</v>
      </c>
      <c r="J13" s="15">
        <f t="shared" si="22"/>
        <v>0</v>
      </c>
      <c r="K13" s="39">
        <f t="shared" si="23"/>
        <v>0</v>
      </c>
      <c r="L13" s="15">
        <f t="shared" si="24"/>
        <v>0</v>
      </c>
      <c r="M13" s="39">
        <f t="shared" si="25"/>
        <v>0</v>
      </c>
      <c r="N13" s="15">
        <f t="shared" si="26"/>
        <v>0</v>
      </c>
      <c r="O13" s="17">
        <f t="shared" ref="O13:P13" si="27">C13+E13+G13+I13+K13+M13</f>
        <v>0</v>
      </c>
      <c r="P13" s="17">
        <f t="shared" si="27"/>
        <v>0</v>
      </c>
    </row>
    <row r="14" ht="14.25" customHeight="1">
      <c r="A14" s="1" t="s">
        <v>13</v>
      </c>
      <c r="B14" s="13">
        <v>25.0</v>
      </c>
      <c r="C14" s="39" t="str">
        <f t="shared" si="15"/>
        <v/>
      </c>
      <c r="D14" s="15">
        <f t="shared" si="16"/>
        <v>0</v>
      </c>
      <c r="E14" s="39" t="str">
        <f t="shared" si="17"/>
        <v/>
      </c>
      <c r="F14" s="15">
        <f t="shared" si="18"/>
        <v>0</v>
      </c>
      <c r="G14" s="39">
        <f t="shared" si="19"/>
        <v>0</v>
      </c>
      <c r="H14" s="15">
        <f t="shared" si="20"/>
        <v>0</v>
      </c>
      <c r="I14" s="39">
        <f t="shared" si="21"/>
        <v>0</v>
      </c>
      <c r="J14" s="15">
        <f t="shared" si="22"/>
        <v>0</v>
      </c>
      <c r="K14" s="39">
        <f t="shared" si="23"/>
        <v>0</v>
      </c>
      <c r="L14" s="15">
        <f t="shared" si="24"/>
        <v>0</v>
      </c>
      <c r="M14" s="39">
        <f t="shared" si="25"/>
        <v>0</v>
      </c>
      <c r="N14" s="15">
        <f t="shared" si="26"/>
        <v>0</v>
      </c>
      <c r="O14" s="17">
        <f t="shared" ref="O14:P14" si="28">C14+E14+G14+I14+K14+M14</f>
        <v>0</v>
      </c>
      <c r="P14" s="17">
        <f t="shared" si="28"/>
        <v>0</v>
      </c>
    </row>
    <row r="15" ht="14.25" customHeight="1">
      <c r="A15" s="1" t="s">
        <v>14</v>
      </c>
      <c r="B15" s="13">
        <v>20.0</v>
      </c>
      <c r="C15" s="39" t="str">
        <f t="shared" si="15"/>
        <v/>
      </c>
      <c r="D15" s="15">
        <f t="shared" si="16"/>
        <v>0</v>
      </c>
      <c r="E15" s="39" t="str">
        <f t="shared" si="17"/>
        <v/>
      </c>
      <c r="F15" s="15">
        <f t="shared" si="18"/>
        <v>0</v>
      </c>
      <c r="G15" s="39">
        <f t="shared" si="19"/>
        <v>0</v>
      </c>
      <c r="H15" s="15">
        <f t="shared" si="20"/>
        <v>0</v>
      </c>
      <c r="I15" s="39">
        <f t="shared" si="21"/>
        <v>0</v>
      </c>
      <c r="J15" s="15">
        <f t="shared" si="22"/>
        <v>0</v>
      </c>
      <c r="K15" s="39">
        <f t="shared" si="23"/>
        <v>0</v>
      </c>
      <c r="L15" s="15">
        <f t="shared" si="24"/>
        <v>0</v>
      </c>
      <c r="M15" s="39">
        <f t="shared" si="25"/>
        <v>0</v>
      </c>
      <c r="N15" s="15">
        <f t="shared" si="26"/>
        <v>0</v>
      </c>
      <c r="O15" s="17">
        <f t="shared" ref="O15:P15" si="29">C15+E15+G15+I15+K15+M15</f>
        <v>0</v>
      </c>
      <c r="P15" s="17">
        <f t="shared" si="29"/>
        <v>0</v>
      </c>
    </row>
    <row r="16" ht="14.25" customHeight="1">
      <c r="A16" s="1" t="s">
        <v>15</v>
      </c>
      <c r="B16" s="13">
        <f>35/2</f>
        <v>17.5</v>
      </c>
      <c r="C16" s="39" t="str">
        <f t="shared" si="15"/>
        <v/>
      </c>
      <c r="D16" s="15">
        <f t="shared" si="16"/>
        <v>0</v>
      </c>
      <c r="E16" s="39" t="str">
        <f t="shared" si="17"/>
        <v/>
      </c>
      <c r="F16" s="15">
        <f t="shared" si="18"/>
        <v>0</v>
      </c>
      <c r="G16" s="39">
        <f t="shared" si="19"/>
        <v>0</v>
      </c>
      <c r="H16" s="15">
        <f t="shared" si="20"/>
        <v>0</v>
      </c>
      <c r="I16" s="39">
        <f t="shared" si="21"/>
        <v>0</v>
      </c>
      <c r="J16" s="15">
        <f t="shared" si="22"/>
        <v>0</v>
      </c>
      <c r="K16" s="39">
        <f t="shared" si="23"/>
        <v>0</v>
      </c>
      <c r="L16" s="15">
        <f t="shared" si="24"/>
        <v>0</v>
      </c>
      <c r="M16" s="39">
        <f t="shared" si="25"/>
        <v>0</v>
      </c>
      <c r="N16" s="15">
        <f t="shared" si="26"/>
        <v>0</v>
      </c>
      <c r="O16" s="17">
        <f t="shared" ref="O16:P16" si="30">C16+E16+G16+I16+K16+M16</f>
        <v>0</v>
      </c>
      <c r="P16" s="17">
        <f t="shared" si="30"/>
        <v>0</v>
      </c>
    </row>
    <row r="17" ht="14.25" customHeight="1">
      <c r="A17" s="19" t="s">
        <v>16</v>
      </c>
      <c r="B17" s="20">
        <v>15.0</v>
      </c>
      <c r="C17" s="40" t="str">
        <f t="shared" si="15"/>
        <v/>
      </c>
      <c r="D17" s="21">
        <f t="shared" si="16"/>
        <v>0</v>
      </c>
      <c r="E17" s="40" t="str">
        <f t="shared" si="17"/>
        <v/>
      </c>
      <c r="F17" s="21">
        <f t="shared" si="18"/>
        <v>0</v>
      </c>
      <c r="G17" s="40">
        <f t="shared" si="19"/>
        <v>0</v>
      </c>
      <c r="H17" s="21">
        <f t="shared" si="20"/>
        <v>0</v>
      </c>
      <c r="I17" s="40">
        <f t="shared" si="21"/>
        <v>0</v>
      </c>
      <c r="J17" s="21">
        <f t="shared" si="22"/>
        <v>0</v>
      </c>
      <c r="K17" s="40">
        <f t="shared" si="23"/>
        <v>0</v>
      </c>
      <c r="L17" s="21">
        <f t="shared" si="24"/>
        <v>0</v>
      </c>
      <c r="M17" s="40">
        <f t="shared" si="25"/>
        <v>0</v>
      </c>
      <c r="N17" s="21">
        <f t="shared" si="26"/>
        <v>0</v>
      </c>
      <c r="O17" s="24">
        <f t="shared" ref="O17:P17" si="31">C17+E17+G17+I17+K17+M17</f>
        <v>0</v>
      </c>
      <c r="P17" s="24">
        <f t="shared" si="31"/>
        <v>0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>
      <c r="A18" s="25" t="s">
        <v>20</v>
      </c>
      <c r="B18" s="41"/>
      <c r="C18" s="27">
        <f t="shared" ref="C18:P18" si="32">SUM(C12:C17)</f>
        <v>0</v>
      </c>
      <c r="D18" s="42">
        <f t="shared" si="32"/>
        <v>0</v>
      </c>
      <c r="E18" s="27">
        <f t="shared" si="32"/>
        <v>0</v>
      </c>
      <c r="F18" s="42">
        <f t="shared" si="32"/>
        <v>0</v>
      </c>
      <c r="G18" s="27">
        <f t="shared" si="32"/>
        <v>0</v>
      </c>
      <c r="H18" s="42">
        <f t="shared" si="32"/>
        <v>0</v>
      </c>
      <c r="I18" s="27">
        <f t="shared" si="32"/>
        <v>0</v>
      </c>
      <c r="J18" s="42">
        <f t="shared" si="32"/>
        <v>0</v>
      </c>
      <c r="K18" s="27">
        <f t="shared" si="32"/>
        <v>0</v>
      </c>
      <c r="L18" s="42">
        <f t="shared" si="32"/>
        <v>0</v>
      </c>
      <c r="M18" s="27">
        <f t="shared" si="32"/>
        <v>0</v>
      </c>
      <c r="N18" s="42">
        <f t="shared" si="32"/>
        <v>0</v>
      </c>
      <c r="O18" s="29">
        <f t="shared" si="32"/>
        <v>0</v>
      </c>
      <c r="P18" s="30">
        <f t="shared" si="32"/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31" t="s">
        <v>21</v>
      </c>
      <c r="B19" s="32"/>
      <c r="C19" s="33"/>
      <c r="D19" s="34">
        <f>D18</f>
        <v>0</v>
      </c>
      <c r="E19" s="33"/>
      <c r="F19" s="34">
        <f>F18+D19</f>
        <v>0</v>
      </c>
      <c r="G19" s="33"/>
      <c r="H19" s="34">
        <f>H18+F19</f>
        <v>0</v>
      </c>
      <c r="I19" s="33"/>
      <c r="J19" s="34">
        <f>J18+H19</f>
        <v>0</v>
      </c>
      <c r="K19" s="33"/>
      <c r="L19" s="34">
        <f>L18+J19</f>
        <v>0</v>
      </c>
      <c r="M19" s="33"/>
      <c r="N19" s="34">
        <f>N18+L19</f>
        <v>0</v>
      </c>
      <c r="O19" s="35"/>
      <c r="P19" s="35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43"/>
      <c r="B20" s="44"/>
      <c r="C20" s="19"/>
      <c r="D20" s="45"/>
      <c r="E20" s="19"/>
      <c r="F20" s="45"/>
      <c r="G20" s="19"/>
      <c r="H20" s="45"/>
      <c r="I20" s="19"/>
      <c r="J20" s="45"/>
      <c r="K20" s="19"/>
      <c r="L20" s="45"/>
      <c r="M20" s="19"/>
      <c r="N20" s="45"/>
      <c r="O20" s="46"/>
      <c r="P20" s="46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>
      <c r="A21" s="25" t="s">
        <v>22</v>
      </c>
      <c r="B21" s="41"/>
      <c r="C21" s="47"/>
      <c r="D21" s="48">
        <f>D18-D9</f>
        <v>0</v>
      </c>
      <c r="E21" s="47"/>
      <c r="F21" s="48">
        <f>F18-F9</f>
        <v>0</v>
      </c>
      <c r="G21" s="47"/>
      <c r="H21" s="48">
        <f>H18-H9</f>
        <v>0</v>
      </c>
      <c r="I21" s="47"/>
      <c r="J21" s="48">
        <f>J18-J9</f>
        <v>0</v>
      </c>
      <c r="K21" s="47"/>
      <c r="L21" s="48">
        <f>L18-L9</f>
        <v>0</v>
      </c>
      <c r="M21" s="47"/>
      <c r="N21" s="48">
        <f>N18-N9</f>
        <v>0</v>
      </c>
      <c r="O21" s="49"/>
      <c r="P21" s="50">
        <f>P18-P9</f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0" t="s">
        <v>23</v>
      </c>
      <c r="B22" s="51"/>
      <c r="D22" s="52">
        <f>B22+D21</f>
        <v>0</v>
      </c>
      <c r="F22" s="52">
        <f>D22+F21</f>
        <v>0</v>
      </c>
      <c r="H22" s="52">
        <f>F22+H21</f>
        <v>0</v>
      </c>
      <c r="J22" s="52">
        <f>H22+J21</f>
        <v>0</v>
      </c>
      <c r="L22" s="52">
        <f>J22+L21</f>
        <v>0</v>
      </c>
      <c r="N22" s="52">
        <f>L22+N21</f>
        <v>0</v>
      </c>
    </row>
    <row r="23" ht="14.25" customHeight="1">
      <c r="B23" s="51"/>
    </row>
    <row r="24" ht="14.25" customHeight="1">
      <c r="B24" s="51"/>
    </row>
    <row r="25" ht="18.0" customHeight="1">
      <c r="A25" s="7" t="s">
        <v>7</v>
      </c>
      <c r="B25" s="36" t="s">
        <v>19</v>
      </c>
      <c r="Q25" s="53"/>
      <c r="R25" s="54" t="s">
        <v>24</v>
      </c>
      <c r="S25" s="54" t="s">
        <v>25</v>
      </c>
    </row>
    <row r="26" ht="18.0" customHeight="1">
      <c r="A26" s="1" t="s">
        <v>11</v>
      </c>
      <c r="B26" s="13"/>
      <c r="Q26" s="55"/>
      <c r="R26" s="54" t="s">
        <v>26</v>
      </c>
      <c r="S26" s="54" t="s">
        <v>27</v>
      </c>
    </row>
    <row r="27" ht="18.0" customHeight="1">
      <c r="A27" s="1" t="s">
        <v>12</v>
      </c>
      <c r="B27" s="13"/>
      <c r="R27" s="54" t="s">
        <v>28</v>
      </c>
      <c r="S27" s="54" t="s">
        <v>29</v>
      </c>
    </row>
    <row r="28" ht="18.0" customHeight="1">
      <c r="A28" s="1" t="s">
        <v>13</v>
      </c>
      <c r="B28" s="13"/>
    </row>
    <row r="29" ht="18.0" customHeight="1">
      <c r="A29" s="1" t="s">
        <v>14</v>
      </c>
      <c r="B29" s="13"/>
    </row>
    <row r="30" ht="18.0" customHeight="1">
      <c r="A30" s="1" t="s">
        <v>15</v>
      </c>
      <c r="B30" s="13"/>
    </row>
    <row r="31" ht="18.0" customHeight="1">
      <c r="A31" s="19" t="s">
        <v>16</v>
      </c>
      <c r="B31" s="20"/>
    </row>
    <row r="32" ht="18.0" customHeight="1">
      <c r="B32" s="51"/>
    </row>
    <row r="33" ht="18.0" customHeight="1">
      <c r="A33" s="7" t="s">
        <v>7</v>
      </c>
      <c r="B33" s="8" t="s">
        <v>8</v>
      </c>
    </row>
    <row r="34" ht="18.0" customHeight="1">
      <c r="A34" s="1" t="s">
        <v>11</v>
      </c>
      <c r="B34" s="13"/>
    </row>
    <row r="35" ht="18.0" customHeight="1">
      <c r="A35" s="1" t="s">
        <v>12</v>
      </c>
      <c r="B35" s="13"/>
    </row>
    <row r="36" ht="18.0" customHeight="1">
      <c r="A36" s="1" t="s">
        <v>13</v>
      </c>
      <c r="B36" s="13"/>
    </row>
    <row r="37" ht="18.0" customHeight="1">
      <c r="A37" s="1" t="s">
        <v>14</v>
      </c>
      <c r="B37" s="13"/>
    </row>
    <row r="38" ht="18.0" customHeight="1">
      <c r="A38" s="1" t="s">
        <v>15</v>
      </c>
      <c r="B38" s="13"/>
    </row>
    <row r="39" ht="18.0" customHeight="1">
      <c r="A39" s="19" t="s">
        <v>16</v>
      </c>
      <c r="B39" s="20"/>
    </row>
    <row r="40" ht="18.0" customHeight="1">
      <c r="B40" s="51"/>
    </row>
    <row r="41" ht="18.0" customHeight="1">
      <c r="B41" s="51"/>
    </row>
    <row r="42" ht="18.0" customHeight="1">
      <c r="B42" s="51"/>
    </row>
    <row r="43" ht="18.0" customHeight="1">
      <c r="B43" s="51"/>
    </row>
    <row r="44" ht="18.0" customHeight="1">
      <c r="B44" s="51"/>
    </row>
    <row r="45" ht="18.0" customHeight="1">
      <c r="B45" s="51"/>
    </row>
    <row r="46" ht="18.0" customHeight="1">
      <c r="B46" s="51"/>
    </row>
    <row r="47" ht="18.0" customHeight="1">
      <c r="B47" s="51"/>
    </row>
    <row r="48" ht="18.0" customHeight="1">
      <c r="B48" s="51"/>
    </row>
    <row r="49" ht="18.0" customHeight="1">
      <c r="B49" s="51"/>
    </row>
    <row r="50" ht="18.0" customHeight="1">
      <c r="B50" s="51"/>
    </row>
    <row r="51" ht="18.0" customHeight="1">
      <c r="B51" s="51"/>
    </row>
    <row r="52" ht="18.0" customHeight="1">
      <c r="B52" s="51"/>
    </row>
    <row r="53" ht="18.0" customHeight="1">
      <c r="B53" s="51"/>
    </row>
    <row r="54" ht="18.0" customHeight="1">
      <c r="B54" s="51"/>
    </row>
    <row r="55" ht="14.25" customHeight="1">
      <c r="A55" s="56"/>
      <c r="B55" s="51"/>
    </row>
    <row r="56" ht="14.25" customHeight="1">
      <c r="A56" s="56"/>
      <c r="B56" s="51"/>
    </row>
    <row r="57" ht="14.25" customHeight="1">
      <c r="A57" s="56"/>
      <c r="B57" s="51"/>
    </row>
    <row r="58" ht="14.25" customHeight="1">
      <c r="A58" s="56"/>
      <c r="B58" s="51"/>
    </row>
    <row r="59" ht="14.25" customHeight="1">
      <c r="A59" s="56"/>
      <c r="B59" s="51"/>
    </row>
    <row r="60" ht="14.25" customHeight="1">
      <c r="A60" s="56"/>
      <c r="B60" s="51"/>
    </row>
    <row r="61" ht="14.25" customHeight="1">
      <c r="A61" s="56"/>
      <c r="B61" s="51"/>
    </row>
    <row r="62" ht="14.25" customHeight="1">
      <c r="A62" s="56"/>
      <c r="B62" s="51"/>
    </row>
    <row r="63" ht="14.25" customHeight="1">
      <c r="A63" s="56"/>
      <c r="B63" s="51"/>
    </row>
    <row r="64" ht="14.25" customHeight="1">
      <c r="A64" s="56"/>
      <c r="B64" s="51"/>
    </row>
    <row r="65" ht="14.25" customHeight="1">
      <c r="A65" s="56"/>
      <c r="B65" s="51"/>
    </row>
    <row r="66" ht="14.25" customHeight="1">
      <c r="A66" s="56"/>
      <c r="B66" s="51"/>
    </row>
    <row r="67" ht="14.25" customHeight="1">
      <c r="A67" s="56"/>
      <c r="B67" s="51"/>
    </row>
    <row r="68" ht="14.25" customHeight="1">
      <c r="A68" s="56"/>
      <c r="B68" s="51"/>
    </row>
    <row r="69" ht="14.25" customHeight="1">
      <c r="A69" s="56"/>
      <c r="B69" s="51"/>
    </row>
    <row r="70" ht="14.25" customHeight="1">
      <c r="A70" s="56"/>
      <c r="B70" s="51"/>
    </row>
    <row r="71" ht="14.25" customHeight="1">
      <c r="A71" s="56"/>
      <c r="B71" s="51"/>
    </row>
    <row r="72" ht="14.25" customHeight="1">
      <c r="A72" s="56"/>
      <c r="B72" s="51"/>
    </row>
    <row r="73" ht="14.25" customHeight="1">
      <c r="A73" s="56"/>
      <c r="B73" s="51"/>
    </row>
    <row r="74" ht="14.25" customHeight="1">
      <c r="B74" s="51"/>
    </row>
    <row r="75" ht="14.25" customHeight="1">
      <c r="B75" s="51"/>
    </row>
    <row r="76" ht="14.25" customHeight="1">
      <c r="B76" s="51"/>
    </row>
    <row r="77" ht="14.25" customHeight="1">
      <c r="B77" s="51"/>
    </row>
    <row r="78" ht="14.25" customHeight="1">
      <c r="B78" s="51"/>
    </row>
    <row r="79" ht="14.25" customHeight="1">
      <c r="B79" s="51"/>
    </row>
    <row r="80" ht="14.25" customHeight="1">
      <c r="B80" s="51"/>
    </row>
    <row r="81" ht="14.25" customHeight="1">
      <c r="B81" s="51"/>
    </row>
    <row r="82" ht="14.25" customHeight="1">
      <c r="B82" s="51"/>
    </row>
    <row r="83" ht="14.25" customHeight="1">
      <c r="B83" s="51"/>
    </row>
    <row r="84" ht="14.25" customHeight="1">
      <c r="B84" s="51"/>
    </row>
    <row r="85" ht="14.25" customHeight="1">
      <c r="B85" s="51"/>
    </row>
    <row r="86" ht="14.25" customHeight="1">
      <c r="B86" s="51"/>
    </row>
    <row r="87" ht="14.25" customHeight="1">
      <c r="B87" s="51"/>
    </row>
    <row r="88" ht="14.25" customHeight="1">
      <c r="B88" s="51"/>
    </row>
    <row r="89" ht="14.25" customHeight="1">
      <c r="B89" s="51"/>
    </row>
    <row r="90" ht="14.25" customHeight="1">
      <c r="B90" s="51"/>
    </row>
    <row r="91" ht="14.25" customHeight="1">
      <c r="B91" s="51"/>
    </row>
    <row r="92" ht="14.25" customHeight="1">
      <c r="B92" s="51"/>
    </row>
    <row r="93" ht="14.25" customHeight="1">
      <c r="B93" s="51"/>
    </row>
    <row r="94" ht="14.25" customHeight="1">
      <c r="B94" s="51"/>
    </row>
    <row r="95" ht="14.25" customHeight="1">
      <c r="B95" s="51"/>
    </row>
    <row r="96" ht="14.25" customHeight="1">
      <c r="B96" s="51"/>
      <c r="D96" s="57">
        <f>D93+C96</f>
        <v>0</v>
      </c>
    </row>
    <row r="97" ht="14.25" customHeight="1">
      <c r="B97" s="51"/>
    </row>
    <row r="98" ht="14.25" customHeight="1">
      <c r="B98" s="51"/>
    </row>
    <row r="99" ht="14.25" customHeight="1">
      <c r="B99" s="51"/>
      <c r="D99" s="57">
        <f>D96+C99</f>
        <v>0</v>
      </c>
    </row>
    <row r="100" ht="14.25" customHeight="1">
      <c r="B100" s="51"/>
    </row>
    <row r="101" ht="14.25" customHeight="1">
      <c r="B101" s="51"/>
    </row>
    <row r="102" ht="14.25" customHeight="1">
      <c r="B102" s="51"/>
      <c r="D102" s="57">
        <f>D99+C102</f>
        <v>0</v>
      </c>
    </row>
    <row r="103" ht="14.25" customHeight="1">
      <c r="B103" s="51"/>
    </row>
    <row r="104" ht="14.25" customHeight="1">
      <c r="B104" s="51"/>
    </row>
    <row r="105" ht="14.25" customHeight="1">
      <c r="B105" s="51"/>
    </row>
    <row r="106" ht="14.25" customHeight="1">
      <c r="B106" s="51"/>
    </row>
    <row r="107" ht="14.25" customHeight="1">
      <c r="B107" s="51"/>
    </row>
    <row r="108" ht="14.25" customHeight="1">
      <c r="B108" s="51"/>
    </row>
    <row r="109" ht="14.25" customHeight="1">
      <c r="B109" s="51"/>
    </row>
    <row r="110" ht="14.25" customHeight="1">
      <c r="B110" s="51"/>
    </row>
    <row r="111" ht="14.25" customHeight="1">
      <c r="B111" s="51"/>
    </row>
    <row r="112" ht="14.25" customHeight="1">
      <c r="B112" s="51"/>
    </row>
    <row r="113" ht="14.25" customHeight="1">
      <c r="B113" s="51"/>
    </row>
    <row r="114" ht="14.25" customHeight="1">
      <c r="B114" s="51"/>
    </row>
    <row r="115" ht="14.25" customHeight="1">
      <c r="B115" s="51"/>
    </row>
    <row r="116" ht="14.25" customHeight="1">
      <c r="B116" s="51"/>
    </row>
    <row r="117" ht="14.25" customHeight="1">
      <c r="B117" s="51"/>
    </row>
    <row r="118" ht="14.25" customHeight="1">
      <c r="B118" s="51"/>
    </row>
    <row r="119" ht="14.25" customHeight="1">
      <c r="B119" s="51"/>
    </row>
    <row r="120" ht="14.25" customHeight="1">
      <c r="B120" s="51"/>
    </row>
    <row r="121" ht="14.25" customHeight="1">
      <c r="B121" s="51"/>
    </row>
    <row r="122" ht="14.25" customHeight="1">
      <c r="B122" s="51"/>
    </row>
    <row r="123" ht="14.25" customHeight="1">
      <c r="B123" s="51"/>
    </row>
    <row r="124" ht="14.25" customHeight="1">
      <c r="B124" s="51"/>
    </row>
    <row r="125" ht="14.25" customHeight="1">
      <c r="B125" s="51"/>
    </row>
    <row r="126" ht="14.25" customHeight="1">
      <c r="B126" s="51"/>
    </row>
    <row r="127" ht="14.25" customHeight="1">
      <c r="B127" s="51"/>
    </row>
    <row r="128" ht="14.25" customHeight="1">
      <c r="B128" s="51"/>
    </row>
    <row r="129" ht="14.25" customHeight="1">
      <c r="B129" s="51"/>
    </row>
    <row r="130" ht="14.25" customHeight="1">
      <c r="B130" s="51"/>
    </row>
    <row r="131" ht="14.25" customHeight="1">
      <c r="B131" s="51"/>
    </row>
    <row r="132" ht="14.25" customHeight="1">
      <c r="B132" s="51"/>
    </row>
    <row r="133" ht="14.25" customHeight="1">
      <c r="B133" s="51"/>
    </row>
    <row r="134" ht="14.25" customHeight="1">
      <c r="B134" s="51"/>
    </row>
    <row r="135" ht="14.25" customHeight="1">
      <c r="B135" s="51"/>
    </row>
    <row r="136" ht="14.25" customHeight="1">
      <c r="B136" s="51"/>
    </row>
    <row r="137" ht="14.25" customHeight="1">
      <c r="B137" s="51"/>
    </row>
    <row r="138" ht="14.25" customHeight="1">
      <c r="B138" s="51"/>
    </row>
    <row r="139" ht="14.25" customHeight="1">
      <c r="B139" s="51"/>
    </row>
    <row r="140" ht="14.25" customHeight="1">
      <c r="B140" s="51"/>
    </row>
    <row r="141" ht="14.25" customHeight="1">
      <c r="B141" s="51"/>
    </row>
    <row r="142" ht="14.25" customHeight="1">
      <c r="B142" s="51"/>
    </row>
    <row r="143" ht="14.25" customHeight="1">
      <c r="B143" s="51"/>
    </row>
    <row r="144" ht="14.25" customHeight="1">
      <c r="B144" s="51"/>
    </row>
    <row r="145" ht="14.25" customHeight="1">
      <c r="B145" s="51"/>
    </row>
    <row r="146" ht="14.25" customHeight="1">
      <c r="B146" s="51"/>
    </row>
    <row r="147" ht="14.25" customHeight="1">
      <c r="B147" s="51"/>
    </row>
    <row r="148" ht="14.25" customHeight="1">
      <c r="B148" s="51"/>
    </row>
    <row r="149" ht="14.25" customHeight="1">
      <c r="B149" s="51"/>
    </row>
    <row r="150" ht="14.25" customHeight="1">
      <c r="B150" s="51"/>
    </row>
    <row r="151" ht="14.25" customHeight="1">
      <c r="B151" s="51"/>
    </row>
    <row r="152" ht="14.25" customHeight="1">
      <c r="B152" s="51"/>
    </row>
    <row r="153" ht="14.25" customHeight="1">
      <c r="B153" s="51"/>
    </row>
    <row r="154" ht="14.25" customHeight="1">
      <c r="B154" s="51"/>
    </row>
    <row r="155" ht="14.25" customHeight="1">
      <c r="B155" s="51"/>
    </row>
    <row r="156" ht="14.25" customHeight="1">
      <c r="B156" s="51"/>
    </row>
    <row r="157" ht="14.25" customHeight="1">
      <c r="B157" s="51"/>
    </row>
    <row r="158" ht="14.25" customHeight="1">
      <c r="B158" s="51"/>
    </row>
    <row r="159" ht="14.25" customHeight="1">
      <c r="B159" s="51"/>
    </row>
    <row r="160" ht="14.25" customHeight="1">
      <c r="B160" s="51"/>
    </row>
    <row r="161" ht="14.25" customHeight="1">
      <c r="B161" s="51"/>
    </row>
    <row r="162" ht="14.25" customHeight="1">
      <c r="B162" s="51"/>
    </row>
    <row r="163" ht="14.25" customHeight="1">
      <c r="B163" s="51"/>
    </row>
    <row r="164" ht="14.25" customHeight="1">
      <c r="B164" s="51"/>
    </row>
    <row r="165" ht="14.25" customHeight="1">
      <c r="B165" s="51"/>
    </row>
    <row r="166" ht="14.25" customHeight="1">
      <c r="B166" s="51"/>
    </row>
    <row r="167" ht="14.25" customHeight="1">
      <c r="B167" s="51"/>
    </row>
    <row r="168" ht="14.25" customHeight="1">
      <c r="B168" s="51"/>
    </row>
    <row r="169" ht="14.25" customHeight="1">
      <c r="B169" s="51"/>
    </row>
    <row r="170" ht="14.25" customHeight="1">
      <c r="B170" s="51"/>
    </row>
    <row r="171" ht="14.25" customHeight="1">
      <c r="B171" s="51"/>
    </row>
    <row r="172" ht="14.25" customHeight="1">
      <c r="B172" s="51"/>
    </row>
    <row r="173" ht="14.25" customHeight="1">
      <c r="B173" s="51"/>
    </row>
    <row r="174" ht="14.25" customHeight="1">
      <c r="B174" s="51"/>
    </row>
    <row r="175" ht="14.25" customHeight="1">
      <c r="B175" s="51"/>
    </row>
    <row r="176" ht="14.25" customHeight="1">
      <c r="B176" s="51"/>
    </row>
    <row r="177" ht="14.25" customHeight="1">
      <c r="B177" s="51"/>
    </row>
    <row r="178" ht="14.25" customHeight="1">
      <c r="B178" s="51"/>
    </row>
    <row r="179" ht="14.25" customHeight="1">
      <c r="B179" s="51"/>
    </row>
    <row r="180" ht="14.25" customHeight="1">
      <c r="B180" s="51"/>
    </row>
    <row r="181" ht="14.25" customHeight="1">
      <c r="B181" s="51"/>
    </row>
    <row r="182" ht="14.25" customHeight="1">
      <c r="B182" s="51"/>
    </row>
    <row r="183" ht="14.25" customHeight="1">
      <c r="B183" s="51"/>
    </row>
    <row r="184" ht="14.25" customHeight="1">
      <c r="B184" s="51"/>
    </row>
    <row r="185" ht="14.25" customHeight="1">
      <c r="B185" s="51"/>
    </row>
    <row r="186" ht="14.25" customHeight="1">
      <c r="B186" s="51"/>
    </row>
    <row r="187" ht="14.25" customHeight="1">
      <c r="B187" s="51"/>
    </row>
    <row r="188" ht="14.25" customHeight="1">
      <c r="B188" s="51"/>
    </row>
    <row r="189" ht="14.25" customHeight="1">
      <c r="B189" s="51"/>
    </row>
    <row r="190" ht="14.25" customHeight="1">
      <c r="B190" s="51"/>
    </row>
    <row r="191" ht="14.25" customHeight="1">
      <c r="B191" s="51"/>
    </row>
    <row r="192" ht="14.25" customHeight="1">
      <c r="B192" s="51"/>
    </row>
    <row r="193" ht="14.25" customHeight="1">
      <c r="B193" s="51"/>
    </row>
    <row r="194" ht="14.25" customHeight="1">
      <c r="B194" s="51"/>
    </row>
    <row r="195" ht="14.25" customHeight="1">
      <c r="B195" s="51"/>
    </row>
    <row r="196" ht="14.25" customHeight="1">
      <c r="B196" s="51"/>
    </row>
    <row r="197" ht="14.25" customHeight="1">
      <c r="B197" s="51"/>
    </row>
    <row r="198" ht="14.25" customHeight="1">
      <c r="B198" s="51"/>
    </row>
    <row r="199" ht="14.25" customHeight="1">
      <c r="B199" s="51"/>
    </row>
    <row r="200" ht="14.25" customHeight="1">
      <c r="B200" s="51"/>
    </row>
    <row r="201" ht="14.25" customHeight="1">
      <c r="B201" s="51"/>
    </row>
    <row r="202" ht="14.25" customHeight="1">
      <c r="B202" s="51"/>
    </row>
    <row r="203" ht="14.25" customHeight="1">
      <c r="B203" s="51"/>
    </row>
    <row r="204" ht="14.25" customHeight="1">
      <c r="B204" s="51"/>
    </row>
    <row r="205" ht="14.25" customHeight="1">
      <c r="B205" s="51"/>
    </row>
    <row r="206" ht="14.25" customHeight="1">
      <c r="B206" s="51"/>
    </row>
    <row r="207" ht="14.25" customHeight="1">
      <c r="B207" s="51"/>
    </row>
    <row r="208" ht="14.25" customHeight="1">
      <c r="B208" s="51"/>
    </row>
    <row r="209" ht="14.25" customHeight="1">
      <c r="B209" s="51"/>
    </row>
    <row r="210" ht="14.25" customHeight="1">
      <c r="B210" s="51"/>
    </row>
    <row r="211" ht="14.25" customHeight="1">
      <c r="B211" s="51"/>
    </row>
    <row r="212" ht="14.25" customHeight="1">
      <c r="B212" s="51"/>
    </row>
    <row r="213" ht="14.25" customHeight="1">
      <c r="B213" s="51"/>
    </row>
    <row r="214" ht="14.25" customHeight="1">
      <c r="B214" s="51"/>
    </row>
    <row r="215" ht="14.25" customHeight="1">
      <c r="B215" s="51"/>
    </row>
    <row r="216" ht="14.25" customHeight="1">
      <c r="B216" s="51"/>
    </row>
    <row r="217" ht="14.25" customHeight="1">
      <c r="B217" s="51"/>
    </row>
    <row r="218" ht="14.25" customHeight="1">
      <c r="B218" s="51"/>
    </row>
    <row r="219" ht="14.25" customHeight="1">
      <c r="B219" s="51"/>
    </row>
    <row r="220" ht="14.25" customHeight="1">
      <c r="B220" s="51"/>
    </row>
    <row r="221" ht="14.25" customHeight="1">
      <c r="B221" s="51"/>
    </row>
    <row r="222" ht="14.25" customHeight="1">
      <c r="B222" s="51"/>
    </row>
    <row r="223" ht="14.25" customHeight="1">
      <c r="B223" s="51"/>
    </row>
    <row r="224" ht="14.25" customHeight="1">
      <c r="B224" s="51"/>
    </row>
    <row r="225" ht="14.25" customHeight="1">
      <c r="B225" s="51"/>
    </row>
    <row r="226" ht="14.25" customHeight="1">
      <c r="B226" s="51"/>
    </row>
    <row r="227" ht="14.25" customHeight="1">
      <c r="B227" s="51"/>
    </row>
    <row r="228" ht="14.25" customHeight="1">
      <c r="B228" s="51"/>
    </row>
    <row r="229" ht="14.25" customHeight="1">
      <c r="B229" s="51"/>
    </row>
    <row r="230" ht="14.25" customHeight="1">
      <c r="B230" s="51"/>
    </row>
    <row r="231" ht="14.25" customHeight="1">
      <c r="B231" s="51"/>
    </row>
    <row r="232" ht="14.25" customHeight="1">
      <c r="B232" s="51"/>
    </row>
    <row r="233" ht="14.25" customHeight="1">
      <c r="B233" s="51"/>
    </row>
    <row r="234" ht="14.25" customHeight="1">
      <c r="B234" s="51"/>
    </row>
    <row r="235" ht="14.25" customHeight="1">
      <c r="B235" s="51"/>
    </row>
    <row r="236" ht="14.25" customHeight="1">
      <c r="B236" s="51"/>
    </row>
    <row r="237" ht="14.25" customHeight="1">
      <c r="B237" s="51"/>
    </row>
    <row r="238" ht="14.25" customHeight="1">
      <c r="B238" s="51"/>
    </row>
    <row r="239" ht="14.25" customHeight="1">
      <c r="B239" s="51"/>
    </row>
    <row r="240" ht="14.25" customHeight="1">
      <c r="B240" s="51"/>
    </row>
    <row r="241" ht="14.25" customHeight="1">
      <c r="B241" s="51"/>
    </row>
    <row r="242" ht="14.25" customHeight="1">
      <c r="B242" s="51"/>
    </row>
    <row r="243" ht="14.25" customHeight="1">
      <c r="B243" s="51"/>
    </row>
    <row r="244" ht="14.25" customHeight="1">
      <c r="B244" s="51"/>
    </row>
    <row r="245" ht="14.25" customHeight="1">
      <c r="B245" s="51"/>
    </row>
    <row r="246" ht="14.25" customHeight="1">
      <c r="B246" s="51"/>
    </row>
    <row r="247" ht="14.25" customHeight="1">
      <c r="B247" s="51"/>
    </row>
    <row r="248" ht="14.25" customHeight="1">
      <c r="B248" s="51"/>
    </row>
    <row r="249" ht="14.25" customHeight="1">
      <c r="B249" s="51"/>
    </row>
    <row r="250" ht="14.25" customHeight="1">
      <c r="B250" s="51"/>
    </row>
    <row r="251" ht="14.25" customHeight="1">
      <c r="B251" s="51"/>
    </row>
    <row r="252" ht="14.25" customHeight="1">
      <c r="B252" s="51"/>
    </row>
    <row r="253" ht="14.25" customHeight="1">
      <c r="B253" s="51"/>
    </row>
    <row r="254" ht="14.25" customHeight="1">
      <c r="B254" s="51"/>
    </row>
    <row r="255" ht="14.25" customHeight="1">
      <c r="B255" s="51"/>
    </row>
    <row r="256" ht="14.25" customHeight="1">
      <c r="B256" s="51"/>
    </row>
    <row r="257" ht="14.25" customHeight="1">
      <c r="B257" s="51"/>
    </row>
    <row r="258" ht="14.25" customHeight="1">
      <c r="B258" s="51"/>
    </row>
    <row r="259" ht="14.25" customHeight="1">
      <c r="B259" s="51"/>
    </row>
    <row r="260" ht="14.25" customHeight="1">
      <c r="B260" s="51"/>
    </row>
    <row r="261" ht="14.25" customHeight="1">
      <c r="B261" s="51"/>
    </row>
    <row r="262" ht="14.25" customHeight="1">
      <c r="B262" s="51"/>
    </row>
    <row r="263" ht="14.25" customHeight="1">
      <c r="B263" s="51"/>
    </row>
    <row r="264" ht="14.25" customHeight="1">
      <c r="B264" s="51"/>
    </row>
    <row r="265" ht="14.25" customHeight="1">
      <c r="B265" s="51"/>
    </row>
    <row r="266" ht="14.25" customHeight="1">
      <c r="B266" s="51"/>
    </row>
    <row r="267" ht="14.25" customHeight="1">
      <c r="B267" s="51"/>
    </row>
    <row r="268" ht="14.25" customHeight="1">
      <c r="B268" s="51"/>
    </row>
    <row r="269" ht="14.25" customHeight="1">
      <c r="B269" s="51"/>
    </row>
    <row r="270" ht="14.25" customHeight="1">
      <c r="B270" s="51"/>
    </row>
    <row r="271" ht="14.25" customHeight="1">
      <c r="B271" s="51"/>
    </row>
    <row r="272" ht="14.25" customHeight="1">
      <c r="B272" s="51"/>
    </row>
    <row r="273" ht="14.25" customHeight="1">
      <c r="B273" s="51"/>
    </row>
    <row r="274" ht="14.25" customHeight="1">
      <c r="B274" s="51"/>
    </row>
    <row r="275" ht="14.25" customHeight="1">
      <c r="B275" s="51"/>
    </row>
    <row r="276" ht="14.25" customHeight="1">
      <c r="B276" s="51"/>
    </row>
    <row r="277" ht="14.25" customHeight="1">
      <c r="B277" s="51"/>
    </row>
    <row r="278" ht="14.25" customHeight="1">
      <c r="B278" s="51"/>
    </row>
    <row r="279" ht="14.25" customHeight="1">
      <c r="B279" s="51"/>
    </row>
    <row r="280" ht="14.25" customHeight="1">
      <c r="B280" s="51"/>
    </row>
    <row r="281" ht="14.25" customHeight="1">
      <c r="B281" s="51"/>
    </row>
    <row r="282" ht="14.25" customHeight="1">
      <c r="B282" s="51"/>
    </row>
    <row r="283" ht="14.25" customHeight="1">
      <c r="B283" s="51"/>
    </row>
    <row r="284" ht="14.25" customHeight="1">
      <c r="B284" s="51"/>
    </row>
    <row r="285" ht="14.25" customHeight="1">
      <c r="B285" s="51"/>
    </row>
    <row r="286" ht="14.25" customHeight="1">
      <c r="B286" s="51"/>
    </row>
    <row r="287" ht="14.25" customHeight="1">
      <c r="B287" s="51"/>
    </row>
    <row r="288" ht="14.25" customHeight="1">
      <c r="B288" s="51"/>
    </row>
    <row r="289" ht="14.25" customHeight="1">
      <c r="B289" s="51"/>
    </row>
    <row r="290" ht="14.25" customHeight="1">
      <c r="B290" s="51"/>
    </row>
    <row r="291" ht="14.25" customHeight="1">
      <c r="B291" s="51"/>
    </row>
    <row r="292" ht="14.25" customHeight="1">
      <c r="B292" s="51"/>
    </row>
    <row r="293" ht="14.25" customHeight="1">
      <c r="B293" s="51"/>
    </row>
    <row r="294" ht="14.25" customHeight="1">
      <c r="B294" s="51"/>
    </row>
    <row r="295" ht="14.25" customHeight="1">
      <c r="B295" s="51"/>
    </row>
    <row r="296" ht="14.25" customHeight="1">
      <c r="B296" s="51"/>
    </row>
    <row r="297" ht="14.25" customHeight="1">
      <c r="B297" s="51"/>
    </row>
    <row r="298" ht="14.25" customHeight="1">
      <c r="B298" s="51"/>
    </row>
    <row r="299" ht="14.25" customHeight="1">
      <c r="B299" s="51"/>
    </row>
    <row r="300" ht="14.25" customHeight="1">
      <c r="B300" s="51"/>
    </row>
    <row r="301" ht="14.25" customHeight="1">
      <c r="B301" s="51"/>
    </row>
    <row r="302" ht="14.25" customHeight="1">
      <c r="B302" s="51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D1"/>
    <mergeCell ref="E1:F1"/>
    <mergeCell ref="G1:H1"/>
    <mergeCell ref="I1:J1"/>
    <mergeCell ref="K1:L1"/>
    <mergeCell ref="M1:N1"/>
    <mergeCell ref="O1:P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6.57"/>
    <col customWidth="1" min="2" max="2" width="12.57"/>
    <col customWidth="1" min="3" max="3" width="6.43"/>
    <col customWidth="1" min="4" max="4" width="13.71"/>
    <col customWidth="1" min="5" max="5" width="9.43"/>
    <col customWidth="1" min="6" max="6" width="13.57"/>
    <col customWidth="1" min="7" max="7" width="9.43"/>
    <col customWidth="1" min="8" max="8" width="13.57"/>
    <col customWidth="1" min="9" max="9" width="9.43"/>
    <col customWidth="1" min="10" max="10" width="13.57"/>
    <col customWidth="1" min="11" max="11" width="9.43"/>
    <col customWidth="1" min="12" max="12" width="13.57"/>
    <col customWidth="1" min="13" max="13" width="9.43"/>
    <col customWidth="1" min="14" max="14" width="13.57"/>
    <col customWidth="1" min="15" max="15" width="10.86"/>
    <col customWidth="1" min="16" max="16" width="11.86"/>
    <col customWidth="1" min="17" max="26" width="8.71"/>
  </cols>
  <sheetData>
    <row r="1" ht="14.25" customHeight="1">
      <c r="A1" s="1"/>
      <c r="B1" s="2"/>
      <c r="C1" s="3" t="s">
        <v>0</v>
      </c>
      <c r="D1" s="4"/>
      <c r="E1" s="5" t="s">
        <v>1</v>
      </c>
      <c r="F1" s="4"/>
      <c r="G1" s="3" t="s">
        <v>2</v>
      </c>
      <c r="H1" s="4"/>
      <c r="I1" s="5" t="s">
        <v>3</v>
      </c>
      <c r="J1" s="4"/>
      <c r="K1" s="3" t="s">
        <v>4</v>
      </c>
      <c r="L1" s="4"/>
      <c r="M1" s="5" t="s">
        <v>5</v>
      </c>
      <c r="N1" s="4"/>
      <c r="O1" s="6" t="s">
        <v>6</v>
      </c>
      <c r="P1" s="4"/>
    </row>
    <row r="2" ht="14.25" customHeight="1">
      <c r="A2" s="7" t="s">
        <v>7</v>
      </c>
      <c r="B2" s="8" t="s">
        <v>8</v>
      </c>
      <c r="C2" s="9" t="s">
        <v>9</v>
      </c>
      <c r="D2" s="10" t="s">
        <v>10</v>
      </c>
      <c r="E2" s="9" t="s">
        <v>9</v>
      </c>
      <c r="F2" s="10" t="s">
        <v>10</v>
      </c>
      <c r="G2" s="9" t="s">
        <v>9</v>
      </c>
      <c r="H2" s="10" t="s">
        <v>10</v>
      </c>
      <c r="I2" s="9" t="s">
        <v>9</v>
      </c>
      <c r="J2" s="10" t="s">
        <v>10</v>
      </c>
      <c r="K2" s="9" t="s">
        <v>9</v>
      </c>
      <c r="L2" s="10" t="s">
        <v>10</v>
      </c>
      <c r="M2" s="9" t="s">
        <v>9</v>
      </c>
      <c r="N2" s="10" t="s">
        <v>10</v>
      </c>
      <c r="O2" s="11" t="s">
        <v>9</v>
      </c>
      <c r="P2" s="12" t="s">
        <v>10</v>
      </c>
    </row>
    <row r="3" ht="14.25" customHeight="1">
      <c r="A3" s="1" t="s">
        <v>11</v>
      </c>
      <c r="B3" s="58"/>
      <c r="C3" s="16"/>
      <c r="D3" s="15">
        <f t="shared" ref="D3:D8" si="2">C3*$B3</f>
        <v>0</v>
      </c>
      <c r="E3" s="16"/>
      <c r="F3" s="15">
        <f t="shared" ref="F3:F8" si="3">E3*$B3</f>
        <v>0</v>
      </c>
      <c r="G3" s="16"/>
      <c r="H3" s="15">
        <f t="shared" ref="H3:H8" si="4">G3*$B3</f>
        <v>0</v>
      </c>
      <c r="I3" s="16"/>
      <c r="J3" s="15">
        <f t="shared" ref="J3:J8" si="5">I3*$B3</f>
        <v>0</v>
      </c>
      <c r="K3" s="16"/>
      <c r="L3" s="15">
        <f t="shared" ref="L3:L8" si="6">K3*$B3</f>
        <v>0</v>
      </c>
      <c r="M3" s="16"/>
      <c r="N3" s="15">
        <f t="shared" ref="N3:N8" si="7">M3*$B3</f>
        <v>0</v>
      </c>
      <c r="O3" s="17">
        <f t="shared" ref="O3:P3" si="1">C3+E3+G3+I3+K3+M3</f>
        <v>0</v>
      </c>
      <c r="P3" s="17">
        <f t="shared" si="1"/>
        <v>0</v>
      </c>
    </row>
    <row r="4" ht="14.25" customHeight="1">
      <c r="A4" s="1" t="s">
        <v>12</v>
      </c>
      <c r="B4" s="58"/>
      <c r="C4" s="16"/>
      <c r="D4" s="15">
        <f t="shared" si="2"/>
        <v>0</v>
      </c>
      <c r="E4" s="16"/>
      <c r="F4" s="15">
        <f t="shared" si="3"/>
        <v>0</v>
      </c>
      <c r="G4" s="16"/>
      <c r="H4" s="15">
        <f t="shared" si="4"/>
        <v>0</v>
      </c>
      <c r="I4" s="16"/>
      <c r="J4" s="15">
        <f t="shared" si="5"/>
        <v>0</v>
      </c>
      <c r="K4" s="16"/>
      <c r="L4" s="15">
        <f t="shared" si="6"/>
        <v>0</v>
      </c>
      <c r="M4" s="16"/>
      <c r="N4" s="15">
        <f t="shared" si="7"/>
        <v>0</v>
      </c>
      <c r="O4" s="17">
        <f t="shared" ref="O4:P4" si="8">C4+E4+G4+I4+K4+M4</f>
        <v>0</v>
      </c>
      <c r="P4" s="17">
        <f t="shared" si="8"/>
        <v>0</v>
      </c>
    </row>
    <row r="5" ht="14.25" customHeight="1">
      <c r="A5" s="1" t="s">
        <v>13</v>
      </c>
      <c r="B5" s="58"/>
      <c r="C5" s="16"/>
      <c r="D5" s="15">
        <f t="shared" si="2"/>
        <v>0</v>
      </c>
      <c r="E5" s="16"/>
      <c r="F5" s="15">
        <f t="shared" si="3"/>
        <v>0</v>
      </c>
      <c r="G5" s="16"/>
      <c r="H5" s="15">
        <f t="shared" si="4"/>
        <v>0</v>
      </c>
      <c r="I5" s="16"/>
      <c r="J5" s="15">
        <f t="shared" si="5"/>
        <v>0</v>
      </c>
      <c r="K5" s="16"/>
      <c r="L5" s="15">
        <f t="shared" si="6"/>
        <v>0</v>
      </c>
      <c r="M5" s="16"/>
      <c r="N5" s="15">
        <f t="shared" si="7"/>
        <v>0</v>
      </c>
      <c r="O5" s="17">
        <f t="shared" ref="O5:P5" si="9">C5+E5+G5+I5+K5+M5</f>
        <v>0</v>
      </c>
      <c r="P5" s="17">
        <f t="shared" si="9"/>
        <v>0</v>
      </c>
    </row>
    <row r="6" ht="14.25" customHeight="1">
      <c r="A6" s="1" t="s">
        <v>14</v>
      </c>
      <c r="B6" s="58"/>
      <c r="C6" s="16"/>
      <c r="D6" s="15">
        <f t="shared" si="2"/>
        <v>0</v>
      </c>
      <c r="E6" s="16"/>
      <c r="F6" s="15">
        <f t="shared" si="3"/>
        <v>0</v>
      </c>
      <c r="G6" s="16"/>
      <c r="H6" s="15">
        <f t="shared" si="4"/>
        <v>0</v>
      </c>
      <c r="I6" s="16"/>
      <c r="J6" s="15">
        <f t="shared" si="5"/>
        <v>0</v>
      </c>
      <c r="K6" s="16"/>
      <c r="L6" s="15">
        <f t="shared" si="6"/>
        <v>0</v>
      </c>
      <c r="M6" s="16"/>
      <c r="N6" s="15">
        <f t="shared" si="7"/>
        <v>0</v>
      </c>
      <c r="O6" s="17">
        <f t="shared" ref="O6:P6" si="10">C6+E6+G6+I6+K6+M6</f>
        <v>0</v>
      </c>
      <c r="P6" s="17">
        <f t="shared" si="10"/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15</v>
      </c>
      <c r="B7" s="58"/>
      <c r="C7" s="16"/>
      <c r="D7" s="15">
        <f t="shared" si="2"/>
        <v>0</v>
      </c>
      <c r="E7" s="16"/>
      <c r="F7" s="15">
        <f t="shared" si="3"/>
        <v>0</v>
      </c>
      <c r="G7" s="16"/>
      <c r="H7" s="15">
        <f t="shared" si="4"/>
        <v>0</v>
      </c>
      <c r="I7" s="16"/>
      <c r="J7" s="15">
        <f t="shared" si="5"/>
        <v>0</v>
      </c>
      <c r="K7" s="16"/>
      <c r="L7" s="15">
        <f t="shared" si="6"/>
        <v>0</v>
      </c>
      <c r="M7" s="16"/>
      <c r="N7" s="15">
        <f t="shared" si="7"/>
        <v>0</v>
      </c>
      <c r="O7" s="17">
        <f t="shared" ref="O7:P7" si="11">C7+E7+G7+I7+K7+M7</f>
        <v>0</v>
      </c>
      <c r="P7" s="17">
        <f t="shared" si="11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9" t="s">
        <v>16</v>
      </c>
      <c r="B8" s="59"/>
      <c r="C8" s="23"/>
      <c r="D8" s="21">
        <f t="shared" si="2"/>
        <v>0</v>
      </c>
      <c r="E8" s="23"/>
      <c r="F8" s="21">
        <f t="shared" si="3"/>
        <v>0</v>
      </c>
      <c r="G8" s="23"/>
      <c r="H8" s="21">
        <f t="shared" si="4"/>
        <v>0</v>
      </c>
      <c r="I8" s="23"/>
      <c r="J8" s="21">
        <f t="shared" si="5"/>
        <v>0</v>
      </c>
      <c r="K8" s="23"/>
      <c r="L8" s="21">
        <f t="shared" si="6"/>
        <v>0</v>
      </c>
      <c r="M8" s="23"/>
      <c r="N8" s="21">
        <f t="shared" si="7"/>
        <v>0</v>
      </c>
      <c r="O8" s="24">
        <f t="shared" ref="O8:P8" si="12">C8+E8+G8+I8+K8+M8</f>
        <v>0</v>
      </c>
      <c r="P8" s="24">
        <f t="shared" si="12"/>
        <v>0</v>
      </c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A9" s="25" t="s">
        <v>30</v>
      </c>
      <c r="B9" s="26"/>
      <c r="C9" s="27">
        <f t="shared" ref="C9:P9" si="13">SUM(C3:C8)</f>
        <v>0</v>
      </c>
      <c r="D9" s="28">
        <f t="shared" si="13"/>
        <v>0</v>
      </c>
      <c r="E9" s="27">
        <f t="shared" si="13"/>
        <v>0</v>
      </c>
      <c r="F9" s="28">
        <f t="shared" si="13"/>
        <v>0</v>
      </c>
      <c r="G9" s="27">
        <f t="shared" si="13"/>
        <v>0</v>
      </c>
      <c r="H9" s="28">
        <f t="shared" si="13"/>
        <v>0</v>
      </c>
      <c r="I9" s="27">
        <f t="shared" si="13"/>
        <v>0</v>
      </c>
      <c r="J9" s="28">
        <f t="shared" si="13"/>
        <v>0</v>
      </c>
      <c r="K9" s="27">
        <f t="shared" si="13"/>
        <v>0</v>
      </c>
      <c r="L9" s="28">
        <f t="shared" si="13"/>
        <v>0</v>
      </c>
      <c r="M9" s="27">
        <f t="shared" si="13"/>
        <v>0</v>
      </c>
      <c r="N9" s="28">
        <f t="shared" si="13"/>
        <v>0</v>
      </c>
      <c r="O9" s="29">
        <f t="shared" si="13"/>
        <v>0</v>
      </c>
      <c r="P9" s="30">
        <f t="shared" si="13"/>
        <v>0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B10" s="51"/>
      <c r="D10" s="37"/>
      <c r="F10" s="37"/>
      <c r="H10" s="37"/>
      <c r="J10" s="37"/>
      <c r="L10" s="37"/>
      <c r="N10" s="37"/>
      <c r="O10" s="38"/>
      <c r="P10" s="38"/>
    </row>
    <row r="11" ht="14.25" customHeight="1">
      <c r="A11" s="1" t="s">
        <v>31</v>
      </c>
      <c r="B11" s="51"/>
      <c r="D11" s="60"/>
      <c r="F11" s="60"/>
      <c r="H11" s="60"/>
      <c r="J11" s="60"/>
      <c r="L11" s="60"/>
      <c r="N11" s="60"/>
      <c r="O11" s="17"/>
      <c r="P11" s="17">
        <f t="shared" ref="P11:P12" si="14">D11+F11+H11+J11+L11+N11</f>
        <v>0</v>
      </c>
    </row>
    <row r="12" ht="14.25" customHeight="1">
      <c r="A12" s="19" t="s">
        <v>32</v>
      </c>
      <c r="B12" s="44"/>
      <c r="C12" s="19"/>
      <c r="D12" s="61"/>
      <c r="E12" s="19"/>
      <c r="F12" s="61"/>
      <c r="G12" s="19"/>
      <c r="H12" s="61"/>
      <c r="I12" s="19"/>
      <c r="J12" s="61"/>
      <c r="K12" s="19"/>
      <c r="L12" s="61"/>
      <c r="M12" s="19"/>
      <c r="N12" s="61"/>
      <c r="O12" s="24"/>
      <c r="P12" s="24">
        <f t="shared" si="14"/>
        <v>0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4.25" customHeight="1">
      <c r="A13" s="25" t="s">
        <v>33</v>
      </c>
      <c r="B13" s="41"/>
      <c r="C13" s="47"/>
      <c r="D13" s="42">
        <f>SUM(D11:D12)</f>
        <v>0</v>
      </c>
      <c r="E13" s="47"/>
      <c r="F13" s="42">
        <f>SUM(F11:F12)</f>
        <v>0</v>
      </c>
      <c r="G13" s="47"/>
      <c r="H13" s="42">
        <f>SUM(H11:H12)</f>
        <v>0</v>
      </c>
      <c r="I13" s="47"/>
      <c r="J13" s="42">
        <f>SUM(J11:J12)</f>
        <v>0</v>
      </c>
      <c r="K13" s="47"/>
      <c r="L13" s="42">
        <f>SUM(L11:L12)</f>
        <v>0</v>
      </c>
      <c r="M13" s="47"/>
      <c r="N13" s="42">
        <f>SUM(N11:N12)</f>
        <v>0</v>
      </c>
      <c r="O13" s="49"/>
      <c r="P13" s="62">
        <f>SUM(P11:P12)</f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8"/>
      <c r="P14" s="3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9" t="s">
        <v>34</v>
      </c>
      <c r="B15" s="63">
        <v>0.0</v>
      </c>
      <c r="C15" s="19"/>
      <c r="D15" s="21">
        <f>(D13+D9)*$B15</f>
        <v>0</v>
      </c>
      <c r="E15" s="19"/>
      <c r="F15" s="21">
        <f>(F13+F9)*$B15</f>
        <v>0</v>
      </c>
      <c r="G15" s="19"/>
      <c r="H15" s="21">
        <f>(H13+H9)*$B15</f>
        <v>0</v>
      </c>
      <c r="I15" s="19"/>
      <c r="J15" s="21">
        <f>(J13+J9)*$B15</f>
        <v>0</v>
      </c>
      <c r="K15" s="19"/>
      <c r="L15" s="21">
        <f>(L13+L9)*$B15</f>
        <v>0</v>
      </c>
      <c r="M15" s="19"/>
      <c r="N15" s="21">
        <f>(N13+N9)*$B15</f>
        <v>0</v>
      </c>
      <c r="O15" s="24"/>
      <c r="P15" s="24">
        <f>D15+F15+H15+J15+L15+N15</f>
        <v>0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>
      <c r="A16" s="25" t="s">
        <v>35</v>
      </c>
      <c r="B16" s="41"/>
      <c r="C16" s="47"/>
      <c r="D16" s="48">
        <f>D15+D13+D9</f>
        <v>0</v>
      </c>
      <c r="E16" s="47"/>
      <c r="F16" s="48">
        <f>F15+F13+F9</f>
        <v>0</v>
      </c>
      <c r="G16" s="47"/>
      <c r="H16" s="48">
        <f>H15+H13+H9</f>
        <v>0</v>
      </c>
      <c r="I16" s="47"/>
      <c r="J16" s="48">
        <f>J15+J13+J9</f>
        <v>0</v>
      </c>
      <c r="K16" s="47"/>
      <c r="L16" s="48">
        <f>L15+L13+L9</f>
        <v>0</v>
      </c>
      <c r="M16" s="47"/>
      <c r="N16" s="48">
        <f>N15+N13+N9</f>
        <v>0</v>
      </c>
      <c r="O16" s="49"/>
      <c r="P16" s="64">
        <f>P15+P13+P9</f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0" t="s">
        <v>18</v>
      </c>
      <c r="B17" s="51"/>
      <c r="C17" s="1"/>
      <c r="D17" s="65">
        <f>D16</f>
        <v>0</v>
      </c>
      <c r="E17" s="1"/>
      <c r="F17" s="65">
        <f>F16+D17</f>
        <v>0</v>
      </c>
      <c r="G17" s="1"/>
      <c r="H17" s="65">
        <f>H16+F17</f>
        <v>0</v>
      </c>
      <c r="I17" s="1"/>
      <c r="J17" s="65">
        <f>J16+H17</f>
        <v>0</v>
      </c>
      <c r="K17" s="1"/>
      <c r="L17" s="65">
        <f>L16+J17</f>
        <v>0</v>
      </c>
      <c r="M17" s="1"/>
      <c r="N17" s="65">
        <f>N16+L17</f>
        <v>0</v>
      </c>
      <c r="O17" s="38"/>
      <c r="P17" s="3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0"/>
      <c r="B18" s="51"/>
      <c r="C18" s="1"/>
      <c r="D18" s="65"/>
      <c r="E18" s="1"/>
      <c r="F18" s="65"/>
      <c r="G18" s="1"/>
      <c r="H18" s="65"/>
      <c r="I18" s="1"/>
      <c r="J18" s="65"/>
      <c r="K18" s="1"/>
      <c r="L18" s="65"/>
      <c r="M18" s="1"/>
      <c r="N18" s="65"/>
      <c r="O18" s="38"/>
      <c r="P18" s="3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51"/>
      <c r="C19" s="1"/>
      <c r="D19" s="65"/>
      <c r="E19" s="1"/>
      <c r="F19" s="65"/>
      <c r="G19" s="1"/>
      <c r="H19" s="65"/>
      <c r="I19" s="1"/>
      <c r="J19" s="65"/>
      <c r="K19" s="1"/>
      <c r="L19" s="65"/>
      <c r="M19" s="1"/>
      <c r="N19" s="65"/>
      <c r="O19" s="38"/>
      <c r="P19" s="38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9" t="s">
        <v>36</v>
      </c>
      <c r="B20" s="63">
        <v>0.0</v>
      </c>
      <c r="C20" s="19"/>
      <c r="D20" s="66">
        <f>D16*$B20</f>
        <v>0</v>
      </c>
      <c r="E20" s="19"/>
      <c r="F20" s="66">
        <f>F16*$B20</f>
        <v>0</v>
      </c>
      <c r="G20" s="19"/>
      <c r="H20" s="66">
        <f>H16*$B20</f>
        <v>0</v>
      </c>
      <c r="I20" s="19"/>
      <c r="J20" s="66">
        <f>J16*$B20</f>
        <v>0</v>
      </c>
      <c r="K20" s="19"/>
      <c r="L20" s="66">
        <f>L16*$B20</f>
        <v>0</v>
      </c>
      <c r="M20" s="19"/>
      <c r="N20" s="66">
        <f>N16*$B20</f>
        <v>0</v>
      </c>
      <c r="O20" s="24">
        <f t="shared" ref="O20:P20" si="15">C20+E20+G20+I20+K20+M20</f>
        <v>0</v>
      </c>
      <c r="P20" s="24">
        <f t="shared" si="15"/>
        <v>0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>
      <c r="A21" s="25" t="s">
        <v>37</v>
      </c>
      <c r="B21" s="41"/>
      <c r="C21" s="47"/>
      <c r="D21" s="67">
        <f>D20+D16</f>
        <v>0</v>
      </c>
      <c r="E21" s="47"/>
      <c r="F21" s="67">
        <f>F20+F16</f>
        <v>0</v>
      </c>
      <c r="G21" s="47"/>
      <c r="H21" s="67">
        <f>H20+H16</f>
        <v>0</v>
      </c>
      <c r="I21" s="47"/>
      <c r="J21" s="67">
        <f>J20+J16</f>
        <v>0</v>
      </c>
      <c r="K21" s="47"/>
      <c r="L21" s="67">
        <f>L20+L16</f>
        <v>0</v>
      </c>
      <c r="M21" s="47"/>
      <c r="N21" s="67">
        <f>N20+N16</f>
        <v>0</v>
      </c>
      <c r="O21" s="49"/>
      <c r="P21" s="64">
        <f>P20+P16</f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0" t="s">
        <v>38</v>
      </c>
      <c r="B22" s="51"/>
      <c r="C22" s="1"/>
      <c r="D22" s="37">
        <f>D21</f>
        <v>0</v>
      </c>
      <c r="E22" s="1"/>
      <c r="F22" s="37">
        <f>F21+D22</f>
        <v>0</v>
      </c>
      <c r="G22" s="1"/>
      <c r="H22" s="37">
        <f>H21+F22</f>
        <v>0</v>
      </c>
      <c r="I22" s="1"/>
      <c r="J22" s="37">
        <f>J21+H22</f>
        <v>0</v>
      </c>
      <c r="K22" s="1"/>
      <c r="L22" s="37">
        <f>L21+J22</f>
        <v>0</v>
      </c>
      <c r="M22" s="1"/>
      <c r="N22" s="37">
        <f>N21+L22</f>
        <v>0</v>
      </c>
      <c r="O22" s="38"/>
      <c r="P22" s="38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43"/>
      <c r="B23" s="44"/>
      <c r="C23" s="19"/>
      <c r="D23" s="45"/>
      <c r="E23" s="19"/>
      <c r="F23" s="45"/>
      <c r="G23" s="19"/>
      <c r="H23" s="45"/>
      <c r="I23" s="19"/>
      <c r="J23" s="45"/>
      <c r="K23" s="19"/>
      <c r="L23" s="45"/>
      <c r="M23" s="19"/>
      <c r="N23" s="45"/>
      <c r="O23" s="46"/>
      <c r="P23" s="46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4.25" customHeight="1">
      <c r="A24" s="25" t="s">
        <v>22</v>
      </c>
      <c r="B24" s="41"/>
      <c r="C24" s="47"/>
      <c r="D24" s="48">
        <f>D21-D16</f>
        <v>0</v>
      </c>
      <c r="E24" s="47"/>
      <c r="F24" s="48">
        <f>F21-F16</f>
        <v>0</v>
      </c>
      <c r="G24" s="47"/>
      <c r="H24" s="48">
        <f>H21-H16</f>
        <v>0</v>
      </c>
      <c r="I24" s="47"/>
      <c r="J24" s="48">
        <f>J21-J16</f>
        <v>0</v>
      </c>
      <c r="K24" s="47"/>
      <c r="L24" s="48">
        <f>L21-L16</f>
        <v>0</v>
      </c>
      <c r="M24" s="47"/>
      <c r="N24" s="48">
        <f>N21-N16</f>
        <v>0</v>
      </c>
      <c r="O24" s="49"/>
      <c r="P24" s="50">
        <f>P21-P16</f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0" t="s">
        <v>23</v>
      </c>
      <c r="B25" s="51"/>
      <c r="D25" s="68">
        <f>D24</f>
        <v>0</v>
      </c>
      <c r="F25" s="68">
        <f>D25+F24</f>
        <v>0</v>
      </c>
      <c r="H25" s="68">
        <f>F25+H24</f>
        <v>0</v>
      </c>
      <c r="J25" s="68">
        <f>H25+J24</f>
        <v>0</v>
      </c>
      <c r="L25" s="68">
        <f>J25+L24</f>
        <v>0</v>
      </c>
      <c r="N25" s="68">
        <f>L25+N24</f>
        <v>0</v>
      </c>
    </row>
    <row r="26" ht="14.25" customHeight="1">
      <c r="A26" s="10"/>
      <c r="B26" s="51"/>
      <c r="D26" s="69"/>
      <c r="F26" s="69"/>
    </row>
    <row r="27" ht="18.0" customHeight="1">
      <c r="A27" s="7" t="s">
        <v>7</v>
      </c>
      <c r="B27" s="8" t="s">
        <v>8</v>
      </c>
    </row>
    <row r="28" ht="18.0" customHeight="1">
      <c r="A28" s="1" t="s">
        <v>11</v>
      </c>
      <c r="B28" s="13">
        <v>40.0</v>
      </c>
    </row>
    <row r="29" ht="18.0" customHeight="1">
      <c r="A29" s="1" t="s">
        <v>12</v>
      </c>
      <c r="B29" s="13">
        <v>30.0</v>
      </c>
    </row>
    <row r="30" ht="18.0" customHeight="1">
      <c r="A30" s="1" t="s">
        <v>13</v>
      </c>
      <c r="B30" s="13">
        <v>25.0</v>
      </c>
    </row>
    <row r="31" ht="18.0" customHeight="1">
      <c r="A31" s="1" t="s">
        <v>14</v>
      </c>
      <c r="B31" s="13">
        <v>20.0</v>
      </c>
    </row>
    <row r="32" ht="18.0" customHeight="1">
      <c r="A32" s="1" t="s">
        <v>15</v>
      </c>
      <c r="B32" s="13">
        <f>35/2</f>
        <v>17.5</v>
      </c>
    </row>
    <row r="33" ht="18.0" customHeight="1">
      <c r="A33" s="19" t="s">
        <v>16</v>
      </c>
      <c r="B33" s="20">
        <v>15.0</v>
      </c>
    </row>
    <row r="34" ht="18.0" customHeight="1">
      <c r="B34" s="51"/>
    </row>
    <row r="35" ht="18.0" customHeight="1">
      <c r="B35" s="51"/>
    </row>
    <row r="36" ht="18.0" customHeight="1">
      <c r="B36" s="51"/>
    </row>
    <row r="37" ht="18.0" customHeight="1">
      <c r="B37" s="51"/>
    </row>
    <row r="38" ht="18.0" customHeight="1">
      <c r="B38" s="51"/>
    </row>
    <row r="39" ht="18.0" customHeight="1">
      <c r="B39" s="51"/>
    </row>
    <row r="40" ht="18.0" customHeight="1">
      <c r="B40" s="51"/>
    </row>
    <row r="41" ht="18.0" customHeight="1">
      <c r="B41" s="51"/>
    </row>
    <row r="42" ht="18.0" customHeight="1">
      <c r="B42" s="51"/>
    </row>
    <row r="43" ht="18.0" customHeight="1">
      <c r="B43" s="51"/>
    </row>
    <row r="44" ht="18.0" customHeight="1">
      <c r="B44" s="51"/>
    </row>
    <row r="45" ht="18.0" customHeight="1">
      <c r="B45" s="51"/>
    </row>
    <row r="46" ht="18.0" customHeight="1">
      <c r="B46" s="51"/>
    </row>
    <row r="47" ht="14.25" customHeight="1">
      <c r="A47" s="56"/>
      <c r="B47" s="51"/>
    </row>
    <row r="48" ht="14.25" customHeight="1">
      <c r="A48" s="56"/>
      <c r="B48" s="51"/>
    </row>
    <row r="49" ht="14.25" customHeight="1">
      <c r="A49" s="56"/>
      <c r="B49" s="51"/>
    </row>
    <row r="50" ht="14.25" customHeight="1">
      <c r="A50" s="56"/>
      <c r="B50" s="51"/>
    </row>
    <row r="51" ht="14.25" customHeight="1">
      <c r="A51" s="56"/>
      <c r="B51" s="51"/>
    </row>
    <row r="52" ht="14.25" customHeight="1">
      <c r="A52" s="56"/>
      <c r="B52" s="51"/>
    </row>
    <row r="53" ht="14.25" customHeight="1">
      <c r="A53" s="56"/>
      <c r="B53" s="51"/>
    </row>
    <row r="54" ht="14.25" customHeight="1">
      <c r="A54" s="56"/>
      <c r="B54" s="51"/>
    </row>
    <row r="55" ht="14.25" customHeight="1">
      <c r="A55" s="56"/>
      <c r="B55" s="51"/>
    </row>
    <row r="56" ht="14.25" customHeight="1">
      <c r="A56" s="56"/>
      <c r="B56" s="51"/>
    </row>
    <row r="57" ht="14.25" customHeight="1">
      <c r="A57" s="56"/>
      <c r="B57" s="51"/>
    </row>
    <row r="58" ht="14.25" customHeight="1">
      <c r="A58" s="56"/>
      <c r="B58" s="51"/>
    </row>
    <row r="59" ht="14.25" customHeight="1">
      <c r="A59" s="56"/>
      <c r="B59" s="51"/>
    </row>
    <row r="60" ht="14.25" customHeight="1">
      <c r="A60" s="56"/>
      <c r="B60" s="51"/>
    </row>
    <row r="61" ht="14.25" customHeight="1">
      <c r="A61" s="56"/>
      <c r="B61" s="51"/>
    </row>
    <row r="62" ht="14.25" customHeight="1">
      <c r="A62" s="56"/>
      <c r="B62" s="51"/>
    </row>
    <row r="63" ht="14.25" customHeight="1">
      <c r="A63" s="56"/>
      <c r="B63" s="51"/>
    </row>
    <row r="64" ht="14.25" customHeight="1">
      <c r="A64" s="56"/>
      <c r="B64" s="51"/>
    </row>
    <row r="65" ht="14.25" customHeight="1">
      <c r="A65" s="56"/>
      <c r="B65" s="51"/>
    </row>
    <row r="66" ht="14.25" customHeight="1">
      <c r="B66" s="51"/>
    </row>
    <row r="67" ht="14.25" customHeight="1">
      <c r="B67" s="51"/>
    </row>
    <row r="68" ht="14.25" customHeight="1">
      <c r="B68" s="51"/>
    </row>
    <row r="69" ht="14.25" customHeight="1">
      <c r="B69" s="51"/>
    </row>
    <row r="70" ht="14.25" customHeight="1">
      <c r="B70" s="51"/>
    </row>
    <row r="71" ht="14.25" customHeight="1">
      <c r="B71" s="51"/>
    </row>
    <row r="72" ht="14.25" customHeight="1">
      <c r="B72" s="51"/>
    </row>
    <row r="73" ht="14.25" customHeight="1">
      <c r="B73" s="51"/>
    </row>
    <row r="74" ht="14.25" customHeight="1">
      <c r="B74" s="51"/>
    </row>
    <row r="75" ht="14.25" customHeight="1">
      <c r="B75" s="51"/>
    </row>
    <row r="76" ht="14.25" customHeight="1">
      <c r="B76" s="51"/>
    </row>
    <row r="77" ht="14.25" customHeight="1">
      <c r="B77" s="51"/>
    </row>
    <row r="78" ht="14.25" customHeight="1">
      <c r="B78" s="51"/>
    </row>
    <row r="79" ht="14.25" customHeight="1">
      <c r="B79" s="51"/>
    </row>
    <row r="80" ht="14.25" customHeight="1">
      <c r="B80" s="51"/>
    </row>
    <row r="81" ht="14.25" customHeight="1">
      <c r="B81" s="51"/>
    </row>
    <row r="82" ht="14.25" customHeight="1">
      <c r="B82" s="51"/>
    </row>
    <row r="83" ht="14.25" customHeight="1">
      <c r="B83" s="51"/>
    </row>
    <row r="84" ht="14.25" customHeight="1">
      <c r="B84" s="51"/>
    </row>
    <row r="85" ht="14.25" customHeight="1">
      <c r="B85" s="51"/>
    </row>
    <row r="86" ht="14.25" customHeight="1">
      <c r="B86" s="51"/>
    </row>
    <row r="87" ht="14.25" customHeight="1">
      <c r="B87" s="51"/>
    </row>
    <row r="88" ht="14.25" customHeight="1">
      <c r="B88" s="51"/>
      <c r="D88" s="57">
        <f>D85+C88</f>
        <v>0</v>
      </c>
    </row>
    <row r="89" ht="14.25" customHeight="1">
      <c r="B89" s="51"/>
    </row>
    <row r="90" ht="14.25" customHeight="1">
      <c r="B90" s="51"/>
    </row>
    <row r="91" ht="14.25" customHeight="1">
      <c r="B91" s="51"/>
      <c r="D91" s="57">
        <f>D88+C91</f>
        <v>0</v>
      </c>
    </row>
    <row r="92" ht="14.25" customHeight="1">
      <c r="B92" s="51"/>
    </row>
    <row r="93" ht="14.25" customHeight="1">
      <c r="B93" s="51"/>
    </row>
    <row r="94" ht="14.25" customHeight="1">
      <c r="B94" s="51"/>
      <c r="D94" s="57">
        <f>D91+C94</f>
        <v>0</v>
      </c>
    </row>
    <row r="95" ht="14.25" customHeight="1">
      <c r="B95" s="51"/>
    </row>
    <row r="96" ht="14.25" customHeight="1">
      <c r="B96" s="51"/>
    </row>
    <row r="97" ht="14.25" customHeight="1">
      <c r="B97" s="51"/>
    </row>
    <row r="98" ht="14.25" customHeight="1">
      <c r="B98" s="51"/>
    </row>
    <row r="99" ht="14.25" customHeight="1">
      <c r="B99" s="51"/>
    </row>
    <row r="100" ht="14.25" customHeight="1">
      <c r="B100" s="51"/>
    </row>
    <row r="101" ht="14.25" customHeight="1">
      <c r="B101" s="51"/>
    </row>
    <row r="102" ht="14.25" customHeight="1">
      <c r="B102" s="51"/>
    </row>
    <row r="103" ht="14.25" customHeight="1">
      <c r="B103" s="51"/>
    </row>
    <row r="104" ht="14.25" customHeight="1">
      <c r="B104" s="51"/>
    </row>
    <row r="105" ht="14.25" customHeight="1">
      <c r="B105" s="51"/>
    </row>
    <row r="106" ht="14.25" customHeight="1">
      <c r="B106" s="51"/>
    </row>
    <row r="107" ht="14.25" customHeight="1">
      <c r="B107" s="51"/>
    </row>
    <row r="108" ht="14.25" customHeight="1">
      <c r="B108" s="51"/>
    </row>
    <row r="109" ht="14.25" customHeight="1">
      <c r="B109" s="51"/>
    </row>
    <row r="110" ht="14.25" customHeight="1">
      <c r="B110" s="51"/>
    </row>
    <row r="111" ht="14.25" customHeight="1">
      <c r="B111" s="51"/>
    </row>
    <row r="112" ht="14.25" customHeight="1">
      <c r="B112" s="51"/>
    </row>
    <row r="113" ht="14.25" customHeight="1">
      <c r="B113" s="51"/>
    </row>
    <row r="114" ht="14.25" customHeight="1">
      <c r="B114" s="51"/>
    </row>
    <row r="115" ht="14.25" customHeight="1">
      <c r="B115" s="51"/>
    </row>
    <row r="116" ht="14.25" customHeight="1">
      <c r="B116" s="51"/>
    </row>
    <row r="117" ht="14.25" customHeight="1">
      <c r="B117" s="51"/>
    </row>
    <row r="118" ht="14.25" customHeight="1">
      <c r="B118" s="51"/>
    </row>
    <row r="119" ht="14.25" customHeight="1">
      <c r="B119" s="51"/>
    </row>
    <row r="120" ht="14.25" customHeight="1">
      <c r="B120" s="51"/>
    </row>
    <row r="121" ht="14.25" customHeight="1">
      <c r="B121" s="51"/>
    </row>
    <row r="122" ht="14.25" customHeight="1">
      <c r="B122" s="51"/>
    </row>
    <row r="123" ht="14.25" customHeight="1">
      <c r="B123" s="51"/>
    </row>
    <row r="124" ht="14.25" customHeight="1">
      <c r="B124" s="51"/>
    </row>
    <row r="125" ht="14.25" customHeight="1">
      <c r="B125" s="51"/>
    </row>
    <row r="126" ht="14.25" customHeight="1">
      <c r="B126" s="51"/>
    </row>
    <row r="127" ht="14.25" customHeight="1">
      <c r="B127" s="51"/>
    </row>
    <row r="128" ht="14.25" customHeight="1">
      <c r="B128" s="51"/>
    </row>
    <row r="129" ht="14.25" customHeight="1">
      <c r="B129" s="51"/>
    </row>
    <row r="130" ht="14.25" customHeight="1">
      <c r="B130" s="51"/>
    </row>
    <row r="131" ht="14.25" customHeight="1">
      <c r="B131" s="51"/>
    </row>
    <row r="132" ht="14.25" customHeight="1">
      <c r="B132" s="51"/>
    </row>
    <row r="133" ht="14.25" customHeight="1">
      <c r="B133" s="51"/>
    </row>
    <row r="134" ht="14.25" customHeight="1">
      <c r="B134" s="51"/>
    </row>
    <row r="135" ht="14.25" customHeight="1">
      <c r="B135" s="51"/>
    </row>
    <row r="136" ht="14.25" customHeight="1">
      <c r="B136" s="51"/>
    </row>
    <row r="137" ht="14.25" customHeight="1">
      <c r="B137" s="51"/>
    </row>
    <row r="138" ht="14.25" customHeight="1">
      <c r="B138" s="51"/>
    </row>
    <row r="139" ht="14.25" customHeight="1">
      <c r="B139" s="51"/>
    </row>
    <row r="140" ht="14.25" customHeight="1">
      <c r="B140" s="51"/>
    </row>
    <row r="141" ht="14.25" customHeight="1">
      <c r="B141" s="51"/>
    </row>
    <row r="142" ht="14.25" customHeight="1">
      <c r="B142" s="51"/>
    </row>
    <row r="143" ht="14.25" customHeight="1">
      <c r="B143" s="51"/>
    </row>
    <row r="144" ht="14.25" customHeight="1">
      <c r="B144" s="51"/>
    </row>
    <row r="145" ht="14.25" customHeight="1">
      <c r="B145" s="51"/>
    </row>
    <row r="146" ht="14.25" customHeight="1">
      <c r="B146" s="51"/>
    </row>
    <row r="147" ht="14.25" customHeight="1">
      <c r="B147" s="51"/>
    </row>
    <row r="148" ht="14.25" customHeight="1">
      <c r="B148" s="51"/>
    </row>
    <row r="149" ht="14.25" customHeight="1">
      <c r="B149" s="51"/>
    </row>
    <row r="150" ht="14.25" customHeight="1">
      <c r="B150" s="51"/>
    </row>
    <row r="151" ht="14.25" customHeight="1">
      <c r="B151" s="51"/>
    </row>
    <row r="152" ht="14.25" customHeight="1">
      <c r="B152" s="51"/>
    </row>
    <row r="153" ht="14.25" customHeight="1">
      <c r="B153" s="51"/>
    </row>
    <row r="154" ht="14.25" customHeight="1">
      <c r="B154" s="51"/>
    </row>
    <row r="155" ht="14.25" customHeight="1">
      <c r="B155" s="51"/>
    </row>
    <row r="156" ht="14.25" customHeight="1">
      <c r="B156" s="51"/>
    </row>
    <row r="157" ht="14.25" customHeight="1">
      <c r="B157" s="51"/>
    </row>
    <row r="158" ht="14.25" customHeight="1">
      <c r="B158" s="51"/>
    </row>
    <row r="159" ht="14.25" customHeight="1">
      <c r="B159" s="51"/>
    </row>
    <row r="160" ht="14.25" customHeight="1">
      <c r="B160" s="51"/>
    </row>
    <row r="161" ht="14.25" customHeight="1">
      <c r="B161" s="51"/>
    </row>
    <row r="162" ht="14.25" customHeight="1">
      <c r="B162" s="51"/>
    </row>
    <row r="163" ht="14.25" customHeight="1">
      <c r="B163" s="51"/>
    </row>
    <row r="164" ht="14.25" customHeight="1">
      <c r="B164" s="51"/>
    </row>
    <row r="165" ht="14.25" customHeight="1">
      <c r="B165" s="51"/>
    </row>
    <row r="166" ht="14.25" customHeight="1">
      <c r="B166" s="51"/>
    </row>
    <row r="167" ht="14.25" customHeight="1">
      <c r="B167" s="51"/>
    </row>
    <row r="168" ht="14.25" customHeight="1">
      <c r="B168" s="51"/>
    </row>
    <row r="169" ht="14.25" customHeight="1">
      <c r="B169" s="51"/>
    </row>
    <row r="170" ht="14.25" customHeight="1">
      <c r="B170" s="51"/>
    </row>
    <row r="171" ht="14.25" customHeight="1">
      <c r="B171" s="51"/>
    </row>
    <row r="172" ht="14.25" customHeight="1">
      <c r="B172" s="51"/>
    </row>
    <row r="173" ht="14.25" customHeight="1">
      <c r="B173" s="51"/>
    </row>
    <row r="174" ht="14.25" customHeight="1">
      <c r="B174" s="51"/>
    </row>
    <row r="175" ht="14.25" customHeight="1">
      <c r="B175" s="51"/>
    </row>
    <row r="176" ht="14.25" customHeight="1">
      <c r="B176" s="51"/>
    </row>
    <row r="177" ht="14.25" customHeight="1">
      <c r="B177" s="51"/>
    </row>
    <row r="178" ht="14.25" customHeight="1">
      <c r="B178" s="51"/>
    </row>
    <row r="179" ht="14.25" customHeight="1">
      <c r="B179" s="51"/>
    </row>
    <row r="180" ht="14.25" customHeight="1">
      <c r="B180" s="51"/>
    </row>
    <row r="181" ht="14.25" customHeight="1">
      <c r="B181" s="51"/>
    </row>
    <row r="182" ht="14.25" customHeight="1">
      <c r="B182" s="51"/>
    </row>
    <row r="183" ht="14.25" customHeight="1">
      <c r="B183" s="51"/>
    </row>
    <row r="184" ht="14.25" customHeight="1">
      <c r="B184" s="51"/>
    </row>
    <row r="185" ht="14.25" customHeight="1">
      <c r="B185" s="51"/>
    </row>
    <row r="186" ht="14.25" customHeight="1">
      <c r="B186" s="51"/>
    </row>
    <row r="187" ht="14.25" customHeight="1">
      <c r="B187" s="51"/>
    </row>
    <row r="188" ht="14.25" customHeight="1">
      <c r="B188" s="51"/>
    </row>
    <row r="189" ht="14.25" customHeight="1">
      <c r="B189" s="51"/>
    </row>
    <row r="190" ht="14.25" customHeight="1">
      <c r="B190" s="51"/>
    </row>
    <row r="191" ht="14.25" customHeight="1">
      <c r="B191" s="51"/>
    </row>
    <row r="192" ht="14.25" customHeight="1">
      <c r="B192" s="51"/>
    </row>
    <row r="193" ht="14.25" customHeight="1">
      <c r="B193" s="51"/>
    </row>
    <row r="194" ht="14.25" customHeight="1">
      <c r="B194" s="51"/>
    </row>
    <row r="195" ht="14.25" customHeight="1">
      <c r="B195" s="51"/>
    </row>
    <row r="196" ht="14.25" customHeight="1">
      <c r="B196" s="51"/>
    </row>
    <row r="197" ht="14.25" customHeight="1">
      <c r="B197" s="51"/>
    </row>
    <row r="198" ht="14.25" customHeight="1">
      <c r="B198" s="51"/>
    </row>
    <row r="199" ht="14.25" customHeight="1">
      <c r="B199" s="51"/>
    </row>
    <row r="200" ht="14.25" customHeight="1">
      <c r="B200" s="51"/>
    </row>
    <row r="201" ht="14.25" customHeight="1">
      <c r="B201" s="51"/>
    </row>
    <row r="202" ht="14.25" customHeight="1">
      <c r="B202" s="51"/>
    </row>
    <row r="203" ht="14.25" customHeight="1">
      <c r="B203" s="51"/>
    </row>
    <row r="204" ht="14.25" customHeight="1">
      <c r="B204" s="51"/>
    </row>
    <row r="205" ht="14.25" customHeight="1">
      <c r="B205" s="51"/>
    </row>
    <row r="206" ht="14.25" customHeight="1">
      <c r="B206" s="51"/>
    </row>
    <row r="207" ht="14.25" customHeight="1">
      <c r="B207" s="51"/>
    </row>
    <row r="208" ht="14.25" customHeight="1">
      <c r="B208" s="51"/>
    </row>
    <row r="209" ht="14.25" customHeight="1">
      <c r="B209" s="51"/>
    </row>
    <row r="210" ht="14.25" customHeight="1">
      <c r="B210" s="51"/>
    </row>
    <row r="211" ht="14.25" customHeight="1">
      <c r="B211" s="51"/>
    </row>
    <row r="212" ht="14.25" customHeight="1">
      <c r="B212" s="51"/>
    </row>
    <row r="213" ht="14.25" customHeight="1">
      <c r="B213" s="51"/>
    </row>
    <row r="214" ht="14.25" customHeight="1">
      <c r="B214" s="51"/>
    </row>
    <row r="215" ht="14.25" customHeight="1">
      <c r="B215" s="51"/>
    </row>
    <row r="216" ht="14.25" customHeight="1">
      <c r="B216" s="51"/>
    </row>
    <row r="217" ht="14.25" customHeight="1">
      <c r="B217" s="51"/>
    </row>
    <row r="218" ht="14.25" customHeight="1">
      <c r="B218" s="51"/>
    </row>
    <row r="219" ht="14.25" customHeight="1">
      <c r="B219" s="51"/>
    </row>
    <row r="220" ht="14.25" customHeight="1">
      <c r="B220" s="51"/>
    </row>
    <row r="221" ht="14.25" customHeight="1">
      <c r="B221" s="51"/>
    </row>
    <row r="222" ht="14.25" customHeight="1">
      <c r="B222" s="51"/>
    </row>
    <row r="223" ht="14.25" customHeight="1">
      <c r="B223" s="51"/>
    </row>
    <row r="224" ht="14.25" customHeight="1">
      <c r="B224" s="51"/>
    </row>
    <row r="225" ht="14.25" customHeight="1">
      <c r="B225" s="51"/>
    </row>
    <row r="226" ht="14.25" customHeight="1">
      <c r="B226" s="51"/>
    </row>
    <row r="227" ht="14.25" customHeight="1">
      <c r="B227" s="51"/>
    </row>
    <row r="228" ht="14.25" customHeight="1">
      <c r="B228" s="51"/>
    </row>
    <row r="229" ht="14.25" customHeight="1">
      <c r="B229" s="51"/>
    </row>
    <row r="230" ht="14.25" customHeight="1">
      <c r="B230" s="51"/>
    </row>
    <row r="231" ht="14.25" customHeight="1">
      <c r="B231" s="51"/>
    </row>
    <row r="232" ht="14.25" customHeight="1">
      <c r="B232" s="51"/>
    </row>
    <row r="233" ht="14.25" customHeight="1">
      <c r="B233" s="51"/>
    </row>
    <row r="234" ht="14.25" customHeight="1">
      <c r="B234" s="51"/>
    </row>
    <row r="235" ht="14.25" customHeight="1">
      <c r="B235" s="51"/>
    </row>
    <row r="236" ht="14.25" customHeight="1">
      <c r="B236" s="51"/>
    </row>
    <row r="237" ht="14.25" customHeight="1">
      <c r="B237" s="51"/>
    </row>
    <row r="238" ht="14.25" customHeight="1">
      <c r="B238" s="51"/>
    </row>
    <row r="239" ht="14.25" customHeight="1">
      <c r="B239" s="51"/>
    </row>
    <row r="240" ht="14.25" customHeight="1">
      <c r="B240" s="51"/>
    </row>
    <row r="241" ht="14.25" customHeight="1">
      <c r="B241" s="51"/>
    </row>
    <row r="242" ht="14.25" customHeight="1">
      <c r="B242" s="51"/>
    </row>
    <row r="243" ht="14.25" customHeight="1">
      <c r="B243" s="51"/>
    </row>
    <row r="244" ht="14.25" customHeight="1">
      <c r="B244" s="51"/>
    </row>
    <row r="245" ht="14.25" customHeight="1">
      <c r="B245" s="51"/>
    </row>
    <row r="246" ht="14.25" customHeight="1">
      <c r="B246" s="51"/>
    </row>
    <row r="247" ht="14.25" customHeight="1">
      <c r="B247" s="51"/>
    </row>
    <row r="248" ht="14.25" customHeight="1">
      <c r="B248" s="51"/>
    </row>
    <row r="249" ht="14.25" customHeight="1">
      <c r="B249" s="51"/>
    </row>
    <row r="250" ht="14.25" customHeight="1">
      <c r="B250" s="51"/>
    </row>
    <row r="251" ht="14.25" customHeight="1">
      <c r="B251" s="51"/>
    </row>
    <row r="252" ht="14.25" customHeight="1">
      <c r="B252" s="51"/>
    </row>
    <row r="253" ht="14.25" customHeight="1">
      <c r="B253" s="51"/>
    </row>
    <row r="254" ht="14.25" customHeight="1">
      <c r="B254" s="51"/>
    </row>
    <row r="255" ht="14.25" customHeight="1">
      <c r="B255" s="51"/>
    </row>
    <row r="256" ht="14.25" customHeight="1">
      <c r="B256" s="51"/>
    </row>
    <row r="257" ht="14.25" customHeight="1">
      <c r="B257" s="51"/>
    </row>
    <row r="258" ht="14.25" customHeight="1">
      <c r="B258" s="51"/>
    </row>
    <row r="259" ht="14.25" customHeight="1">
      <c r="B259" s="51"/>
    </row>
    <row r="260" ht="14.25" customHeight="1">
      <c r="B260" s="51"/>
    </row>
    <row r="261" ht="14.25" customHeight="1">
      <c r="B261" s="51"/>
    </row>
    <row r="262" ht="14.25" customHeight="1">
      <c r="B262" s="51"/>
    </row>
    <row r="263" ht="14.25" customHeight="1">
      <c r="B263" s="51"/>
    </row>
    <row r="264" ht="14.25" customHeight="1">
      <c r="B264" s="51"/>
    </row>
    <row r="265" ht="14.25" customHeight="1">
      <c r="B265" s="51"/>
    </row>
    <row r="266" ht="14.25" customHeight="1">
      <c r="B266" s="51"/>
    </row>
    <row r="267" ht="14.25" customHeight="1">
      <c r="B267" s="51"/>
    </row>
    <row r="268" ht="14.25" customHeight="1">
      <c r="B268" s="51"/>
    </row>
    <row r="269" ht="14.25" customHeight="1">
      <c r="B269" s="51"/>
    </row>
    <row r="270" ht="14.25" customHeight="1">
      <c r="B270" s="51"/>
    </row>
    <row r="271" ht="14.25" customHeight="1">
      <c r="B271" s="51"/>
    </row>
    <row r="272" ht="14.25" customHeight="1">
      <c r="B272" s="51"/>
    </row>
    <row r="273" ht="14.25" customHeight="1">
      <c r="B273" s="51"/>
    </row>
    <row r="274" ht="14.25" customHeight="1">
      <c r="B274" s="51"/>
    </row>
    <row r="275" ht="14.25" customHeight="1">
      <c r="B275" s="51"/>
    </row>
    <row r="276" ht="14.25" customHeight="1">
      <c r="B276" s="51"/>
    </row>
    <row r="277" ht="14.25" customHeight="1">
      <c r="B277" s="51"/>
    </row>
    <row r="278" ht="14.25" customHeight="1">
      <c r="B278" s="51"/>
    </row>
    <row r="279" ht="14.25" customHeight="1">
      <c r="B279" s="51"/>
    </row>
    <row r="280" ht="14.25" customHeight="1">
      <c r="B280" s="51"/>
    </row>
    <row r="281" ht="14.25" customHeight="1">
      <c r="B281" s="51"/>
    </row>
    <row r="282" ht="14.25" customHeight="1">
      <c r="B282" s="51"/>
    </row>
    <row r="283" ht="14.25" customHeight="1">
      <c r="B283" s="51"/>
    </row>
    <row r="284" ht="14.25" customHeight="1">
      <c r="B284" s="51"/>
    </row>
    <row r="285" ht="14.25" customHeight="1">
      <c r="B285" s="51"/>
    </row>
    <row r="286" ht="14.25" customHeight="1">
      <c r="B286" s="51"/>
    </row>
    <row r="287" ht="14.25" customHeight="1">
      <c r="B287" s="51"/>
    </row>
    <row r="288" ht="14.25" customHeight="1">
      <c r="B288" s="51"/>
    </row>
    <row r="289" ht="14.25" customHeight="1">
      <c r="B289" s="51"/>
    </row>
    <row r="290" ht="14.25" customHeight="1">
      <c r="B290" s="51"/>
    </row>
    <row r="291" ht="14.25" customHeight="1">
      <c r="B291" s="51"/>
    </row>
    <row r="292" ht="14.25" customHeight="1">
      <c r="B292" s="51"/>
    </row>
    <row r="293" ht="14.25" customHeight="1">
      <c r="B293" s="51"/>
    </row>
    <row r="294" ht="14.25" customHeight="1">
      <c r="B294" s="51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D1"/>
    <mergeCell ref="E1:F1"/>
    <mergeCell ref="G1:H1"/>
    <mergeCell ref="I1:J1"/>
    <mergeCell ref="K1:L1"/>
    <mergeCell ref="M1:N1"/>
    <mergeCell ref="O1:P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2022-11-18T22:52:46Z</dcterms:created>
  <dc:creator>Naon, Marcelo Carlos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9256c7-9946-44df-b379-51beb93fd2d9_Enabled">
    <vt:lpwstr>true</vt:lpwstr>
  </property>
  <property fmtid="{D5CDD505-2E9C-101B-9397-08002B2CF9AE}" pid="3" name="MSIP_Label_589256c7-9946-44df-b379-51beb93fd2d9_SetDate">
    <vt:lpwstr>2022-11-18T22:20:55Z</vt:lpwstr>
  </property>
  <property fmtid="{D5CDD505-2E9C-101B-9397-08002B2CF9AE}" pid="4" name="MSIP_Label_589256c7-9946-44df-b379-51beb93fd2d9_Method">
    <vt:lpwstr>Privileged</vt:lpwstr>
  </property>
  <property fmtid="{D5CDD505-2E9C-101B-9397-08002B2CF9AE}" pid="5" name="MSIP_Label_589256c7-9946-44df-b379-51beb93fd2d9_Name">
    <vt:lpwstr>589256c7-9946-44df-b379-51beb93fd2d9</vt:lpwstr>
  </property>
  <property fmtid="{D5CDD505-2E9C-101B-9397-08002B2CF9AE}" pid="6" name="MSIP_Label_589256c7-9946-44df-b379-51beb93fd2d9_SiteId">
    <vt:lpwstr>36da45f1-dd2c-4d1f-af13-5abe46b99921</vt:lpwstr>
  </property>
  <property fmtid="{D5CDD505-2E9C-101B-9397-08002B2CF9AE}" pid="7" name="MSIP_Label_589256c7-9946-44df-b379-51beb93fd2d9_ActionId">
    <vt:lpwstr>2c64d89e-49c5-46a3-81cd-7c51582f9390</vt:lpwstr>
  </property>
  <property fmtid="{D5CDD505-2E9C-101B-9397-08002B2CF9AE}" pid="8" name="MSIP_Label_589256c7-9946-44df-b379-51beb93fd2d9_ContentBits">
    <vt:lpwstr>0</vt:lpwstr>
  </property>
</Properties>
</file>